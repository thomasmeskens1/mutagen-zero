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Leia-me" sheetId="1" state="visible" r:id="rId1"/>
    <sheet name="Parametros" sheetId="2" state="visible" r:id="rId2"/>
    <sheet name="Corpo a Corpo" sheetId="3" state="visible" r:id="rId3"/>
    <sheet name="Distancia Silenciosa" sheetId="4" state="visible" r:id="rId4"/>
    <sheet name="Armas de Fogo" sheetId="5" state="visible" r:id="rId5"/>
    <sheet name="Municoes Especiais" sheetId="6" state="visible" r:id="rId6"/>
    <sheet name="Compatibilidade" sheetId="7" state="visible" r:id="rId7"/>
    <sheet name="Propriedades" sheetId="8" state="visible" r:id="rId8"/>
    <sheet name="Modificacoes" sheetId="9" state="visible" r:id="rId9"/>
    <sheet name="Componentes" sheetId="10" state="visible" r:id="rId10"/>
    <sheet name="Bestiario" sheetId="11" state="visible" r:id="rId11"/>
    <sheet name="Consumiveis" sheetId="12" state="visible" r:id="rId12"/>
    <sheet name="Saque" sheetId="13" state="visible" r:id="rId13"/>
    <sheet name="Defesa" sheetId="14" state="visible" r:id="rId14"/>
    <sheet name="Equipamentos" sheetId="15" state="visible" r:id="rId15"/>
    <sheet name="Municao" sheetId="16" state="visible" r:id="rId16"/>
    <sheet name="Conservacao" sheetId="17" state="visible" r:id="rId17"/>
    <sheet name="Ruido" sheetId="18" state="visible" r:id="rId18"/>
    <sheet name="Progressao" sheetId="19" state="visible" r:id="rId19"/>
    <sheet name="Recursos de Classe" sheetId="20" state="visible" r:id="rId20"/>
    <sheet name="Resistencias" sheetId="21" state="visible" r:id="rId21"/>
    <sheet name="Pericias" sheetId="22" state="visible" r:id="rId22"/>
    <sheet name="Especializacoes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color rgb="FF0000FF"/>
      <sz val="10"/>
    </font>
    <font>
      <name val="Arial"/>
      <b val="1"/>
      <sz val="10"/>
    </font>
    <font>
      <name val="Arial"/>
      <color rgb="FF000000"/>
      <sz val="10"/>
    </font>
    <font>
      <name val="Arial"/>
      <b val="1"/>
      <color rgb="FF000000"/>
      <sz val="13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555555"/>
      <sz val="9"/>
    </font>
    <font>
      <name val="Arial"/>
      <color rgb="FF0000FF"/>
      <sz val="10"/>
    </font>
    <font>
      <name val="Arial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2F4F4F"/>
      </patternFill>
    </fill>
    <fill>
      <patternFill patternType="solid">
        <fgColor rgb="FFFFFF00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F4F4F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7" fillId="4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6" fillId="0" borderId="1" applyAlignment="1" pivotButton="0" quotePrefix="0" xfId="0">
      <alignment horizontal="center"/>
    </xf>
    <xf numFmtId="0" fontId="8" fillId="0" borderId="1" pivotButton="0" quotePrefix="0" xfId="0"/>
    <xf numFmtId="0" fontId="2" fillId="0" borderId="1" applyAlignment="1" pivotButton="0" quotePrefix="0" xfId="0">
      <alignment horizontal="center"/>
    </xf>
    <xf numFmtId="2" fontId="8" fillId="0" borderId="1" pivotButton="0" quotePrefix="0" xfId="0"/>
    <xf numFmtId="164" fontId="8" fillId="0" borderId="1" pivotButton="0" quotePrefix="0" xfId="0"/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7" fillId="0" borderId="1" pivotButton="0" quotePrefix="0" xfId="0"/>
    <xf numFmtId="0" fontId="2" fillId="0" borderId="1" applyAlignment="1" pivotButton="0" quotePrefix="0" xfId="0">
      <alignment vertical="top" wrapText="1"/>
    </xf>
    <xf numFmtId="0" fontId="7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/>
    </xf>
    <xf numFmtId="0" fontId="4" fillId="0" borderId="1" pivotButton="0" quotePrefix="0" xfId="0"/>
    <xf numFmtId="0" fontId="7" fillId="0" borderId="1" applyAlignment="1" pivotButton="0" quotePrefix="0" xfId="0">
      <alignment vertical="top" wrapText="1"/>
    </xf>
    <xf numFmtId="0" fontId="2" fillId="3" borderId="1" pivotButton="0" quotePrefix="0" xfId="0"/>
    <xf numFmtId="0" fontId="7" fillId="0" borderId="0" pivotButton="0" quotePrefix="0" xfId="0"/>
    <xf numFmtId="0" fontId="7" fillId="6" borderId="1" pivotButton="0" quotePrefix="0" xfId="0"/>
    <xf numFmtId="0" fontId="7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  <xf numFmtId="0" fontId="9" fillId="0" borderId="0" pivotButton="0" quotePrefix="0" xfId="0"/>
    <xf numFmtId="0" fontId="10" fillId="7" borderId="1" applyAlignment="1" pivotButton="0" quotePrefix="0" xfId="0">
      <alignment horizontal="center" vertical="top" wrapText="1"/>
    </xf>
    <xf numFmtId="0" fontId="11" fillId="0" borderId="1" pivotButton="0" quotePrefix="0" xfId="0"/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vertical="top" wrapText="1"/>
    </xf>
    <xf numFmtId="0" fontId="12" fillId="8" borderId="1" applyAlignment="1" pivotButton="0" quotePrefix="0" xfId="0">
      <alignment horizontal="center" vertical="top"/>
    </xf>
    <xf numFmtId="0" fontId="13" fillId="0" borderId="0" pivotButton="0" quotePrefix="0" xfId="0"/>
    <xf numFmtId="0" fontId="12" fillId="0" borderId="1" pivotButton="0" quotePrefix="0" xfId="0"/>
    <xf numFmtId="0" fontId="14" fillId="0" borderId="1" applyAlignment="1" pivotButton="0" quotePrefix="0" xfId="0">
      <alignment horizontal="center" vertical="top"/>
    </xf>
    <xf numFmtId="0" fontId="12" fillId="9" borderId="1" applyAlignment="1" pivotButton="0" quotePrefix="0" xfId="0">
      <alignment horizontal="center" vertical="top"/>
    </xf>
    <xf numFmtId="0" fontId="12" fillId="9" borderId="1" pivotButton="0" quotePrefix="0" xfId="0"/>
    <xf numFmtId="0" fontId="11" fillId="10" borderId="1" pivotButton="0" quotePrefix="0" xfId="0"/>
    <xf numFmtId="0" fontId="13" fillId="10" borderId="1" pivotButton="0" quotePrefix="0" xfId="0"/>
    <xf numFmtId="0" fontId="13" fillId="0" borderId="1" pivotButton="0" quotePrefix="0" xfId="0"/>
    <xf numFmtId="0" fontId="13" fillId="9" borderId="1" pivotButton="0" quotePrefix="0" xfId="0"/>
    <xf numFmtId="0" fontId="11" fillId="9" borderId="1" applyAlignment="1" pivotButton="0" quotePrefix="0" xfId="0">
      <alignment horizontal="center" vertical="top"/>
    </xf>
    <xf numFmtId="0" fontId="12" fillId="9" borderId="1" applyAlignment="1" pivotButton="0" quotePrefix="0" xfId="0">
      <alignment vertical="top" wrapText="1"/>
    </xf>
    <xf numFmtId="0" fontId="15" fillId="0" borderId="0" pivotButton="0" quotePrefix="0" xfId="0"/>
    <xf numFmtId="0" fontId="12" fillId="8" borderId="1" pivotButton="0" quotePrefix="0" xfId="0"/>
    <xf numFmtId="0" fontId="11" fillId="10" borderId="1" applyAlignment="1" pivotButton="0" quotePrefix="0" xfId="0">
      <alignment horizontal="center" vertical="top"/>
    </xf>
    <xf numFmtId="0" fontId="12" fillId="8" borderId="1" applyAlignment="1" pivotButton="0" quotePrefix="0" xfId="0">
      <alignment vertical="top" wrapText="1"/>
    </xf>
    <xf numFmtId="0" fontId="11" fillId="8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0" fontId="11" fillId="9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tabSelected="1" workbookViewId="0">
      <selection activeCell="A1" sqref="A1"/>
    </sheetView>
  </sheetViews>
  <sheetFormatPr baseColWidth="8" defaultRowHeight="14.4"/>
  <cols>
    <col width="124" customWidth="1" min="1" max="1"/>
  </cols>
  <sheetData>
    <row r="1" ht="16.8" customHeight="1">
      <c r="A1" s="1" t="inlineStr">
        <is>
          <t>MUTAGEN:ZERO - Armamento consolidado (v0.4)</t>
        </is>
      </c>
    </row>
    <row r="2">
      <c r="A2" s="2" t="n"/>
    </row>
    <row r="3">
      <c r="A3" s="2" t="inlineStr">
        <is>
          <t>STATUS: armas, propriedades, modificacoes, componentes, municoes e escala de ruido sao CANON (Aprovacoes 001 a 012).</t>
        </is>
      </c>
    </row>
    <row r="4">
      <c r="A4" s="2" t="inlineStr">
        <is>
          <t>Valores [A CALIBRAR] e os numeros de FOR minima seguem abertos, em celulas editaveis.</t>
        </is>
      </c>
    </row>
    <row r="5">
      <c r="A5" s="2" t="n"/>
    </row>
    <row r="6">
      <c r="A6" s="3" t="inlineStr">
        <is>
          <t>COMO USAR</t>
        </is>
      </c>
    </row>
    <row r="7">
      <c r="A7" s="2" t="inlineStr">
        <is>
          <t>1. Aba Parametros: as cinco alavancas globais. Mexer ali repropaga por todas as abas de armas.</t>
        </is>
      </c>
    </row>
    <row r="8">
      <c r="A8" s="2" t="inlineStr">
        <is>
          <t>2. Celulas AZUIS: editaveis. PRETAS: formulas, nao edite. FUNDO AMARELO: decisao em aberto.</t>
        </is>
      </c>
    </row>
    <row r="9">
      <c r="A9" s="2" t="inlineStr">
        <is>
          <t>3. Colunas N2 e Faces2 existem para armas de DANO DUPLO (ex.: Volt-9 = 1d6 Concussao + 1d6 Eletrico).</t>
        </is>
      </c>
    </row>
    <row r="10">
      <c r="A10" s="2" t="inlineStr">
        <is>
          <t xml:space="preserve">   Deixe em branco para arma de dado unico. O DPR soma os dois dados automaticamente.</t>
        </is>
      </c>
    </row>
    <row r="11">
      <c r="A11" s="2" t="inlineStr">
        <is>
          <t>4. A coluna DPR desconta a propriedade Improvisada, que remove a proficiencia do ataque.</t>
        </is>
      </c>
    </row>
    <row r="12">
      <c r="A12" s="2" t="n"/>
    </row>
    <row r="13">
      <c r="A13" s="3" t="inlineStr">
        <is>
          <t>A FORMULA DO DPR</t>
        </is>
      </c>
    </row>
    <row r="14">
      <c r="A14" s="2" t="inlineStr">
        <is>
          <t>P(acerto) = (21 - (Defesa - bonus efetivo)) / 20, limitado entre 5% e 95%.</t>
        </is>
      </c>
    </row>
    <row r="15">
      <c r="A15" s="2" t="inlineStr">
        <is>
          <t xml:space="preserve">   bonus efetivo = bonus de ataque, MENOS a proficiencia se a arma for Improvisada.</t>
        </is>
      </c>
    </row>
    <row r="16">
      <c r="A16" s="2" t="inlineStr">
        <is>
          <t>Dano medio = N x (Faces + 1) / 2, somado ao segundo dado quando existir.</t>
        </is>
      </c>
    </row>
    <row r="17">
      <c r="A17" s="2" t="inlineStr">
        <is>
          <t>DPR = P(acerto) x (dano medio + mod) + 5% x dano medio.   O termo de 5% e o critico, que dobra os dados.</t>
        </is>
      </c>
    </row>
    <row r="18">
      <c r="A18" s="2" t="inlineStr">
        <is>
          <t>EXCECAO CANONICA: em modo RAJADA o critico soma UM dado adicional em vez de dobrar (Aprovacao 009).</t>
        </is>
      </c>
    </row>
    <row r="19">
      <c r="A19" s="4" t="inlineStr">
        <is>
          <t>Formula validada contra Monte Carlo de 200.000 tiradas. A formula e exata; a simulacao era aproximada.</t>
        </is>
      </c>
    </row>
    <row r="20">
      <c r="A20" s="2" t="n"/>
    </row>
    <row r="21">
      <c r="A21" s="3" t="inlineStr">
        <is>
          <t>O TETO DE DPR E SUAS TRES EXCECOES NOMEADAS (Aprovacao 012)</t>
        </is>
      </c>
    </row>
    <row r="22">
      <c r="A22" s="2" t="inlineStr">
        <is>
          <t>O teto e 6,025 (marreta 1d12) e vale para ARMAS DE ALCANCE NORMAL. Tres coisas passam dele, cada uma</t>
        </is>
      </c>
    </row>
    <row r="23">
      <c r="A23" s="2" t="inlineStr">
        <is>
          <t>com uma restricao propria que paga a diferenca:</t>
        </is>
      </c>
    </row>
    <row r="24">
      <c r="A24" s="2" t="inlineStr">
        <is>
          <t xml:space="preserve">   ESPINGARDA 2d6 = 6,35. Preco: alcance 4/12 hex, ou seja 6 metros - obriga a entrar na faixa de Infeccao.</t>
        </is>
      </c>
    </row>
    <row r="25">
      <c r="A25" s="2" t="inlineStr">
        <is>
          <t xml:space="preserve">   SOQUEIRA VOLT-9 carregada = 6,35. Preco: decai visivelmente para 4,08 quando as 6 cargas acabam.</t>
        </is>
      </c>
    </row>
    <row r="26">
      <c r="A26" s="2" t="inlineStr">
        <is>
          <t xml:space="preserve">   RAJADA = 7,28. Preco: 3x municao e restricao ao calibre Rifle, o mais escasso.</t>
        </is>
      </c>
    </row>
    <row r="27">
      <c r="A27" s="4" t="inlineStr">
        <is>
          <t>A versao anterior desta planilha afirmava que a Rajada era a UNICA excecao. Estava errado.</t>
        </is>
      </c>
    </row>
    <row r="28">
      <c r="A28" s="2" t="n"/>
    </row>
    <row r="29">
      <c r="A29" s="3" t="inlineStr">
        <is>
          <t>O TETO DE DADO</t>
        </is>
      </c>
    </row>
    <row r="30">
      <c r="A30" s="2" t="inlineStr">
        <is>
          <t>A escada e d4, d6, d8, d10, d12 e o TETO E 1d12 ABSOLUTO. Acima disso os degraus ficam irregulares:</t>
        </is>
      </c>
    </row>
    <row r="31">
      <c r="A31" s="2" t="inlineStr">
        <is>
          <t>d12 para 2d6 rende so +5% de DPR e 2d6 para 2d8 salta 20%, trivializando o zumbi comum.</t>
        </is>
      </c>
    </row>
    <row r="32">
      <c r="A32" s="2" t="inlineStr">
        <is>
          <t>CONSEQUENCIA: o poder de tier alto vem de EFEITO, nunca de dado maior.</t>
        </is>
      </c>
    </row>
    <row r="33">
      <c r="A33" s="2" t="n"/>
    </row>
    <row r="34">
      <c r="A34" s="3" t="inlineStr">
        <is>
          <t>OS SEIS TIERS</t>
        </is>
      </c>
    </row>
    <row r="35">
      <c r="A35" s="2" t="inlineStr">
        <is>
          <t>Sucata - lixo improvisado, quase sempre com Improvisada e/ou Fragil.</t>
        </is>
      </c>
    </row>
    <row r="36">
      <c r="A36" s="2" t="inlineStr">
        <is>
          <t>Comum - equipamento civil: ferramenta, esporte, utilidade, hospitalar, agricola.</t>
        </is>
      </c>
    </row>
    <row r="37">
      <c r="A37" s="2" t="inlineStr">
        <is>
          <t>Modificada - resultado do sistema de Modificacoes, feita pelo proprio grupo.</t>
        </is>
      </c>
    </row>
    <row r="38">
      <c r="A38" s="2" t="inlineStr">
        <is>
          <t>Militar - excedente pre-Queda. Confiavel, sem efeito exotico. Piso do tier alto.</t>
        </is>
      </c>
    </row>
    <row r="39">
      <c r="A39" s="2" t="inlineStr">
        <is>
          <t>Corporativa - tecnologia de quem causou o Colapso. TODAS tem efeito ativo.</t>
        </is>
      </c>
    </row>
    <row r="40">
      <c r="A40" s="2" t="inlineStr">
        <is>
          <t>Prototipo - peca unica. Efeito marcante com custo marcante.</t>
        </is>
      </c>
    </row>
    <row r="41">
      <c r="A41" s="2" t="n"/>
    </row>
    <row r="42">
      <c r="A42" s="3" t="inlineStr">
        <is>
          <t>O QUE AINDA BLOQUEIA A CALIBRAGEM</t>
        </is>
      </c>
    </row>
    <row r="43">
      <c r="A43" s="2" t="inlineStr">
        <is>
          <t>Seis numeros nao existem e travam o balanceamento real: (1) pontos de Infeccao por golpe de mutante;</t>
        </is>
      </c>
    </row>
    <row r="44">
      <c r="A44" s="2" t="inlineStr">
        <is>
          <t>(2) limiar do Medidor de Horda; (3) tabela de resistencias por tipo de dano; (4) dano por camada de</t>
        </is>
      </c>
    </row>
    <row r="45">
      <c r="A45" s="2" t="inlineStr">
        <is>
          <t>Sangrando; (5) HP por classe; (6) tamanho do lote de municao especial.</t>
        </is>
      </c>
    </row>
    <row r="46">
      <c r="A46" s="2" t="inlineStr">
        <is>
          <t>Enquanto faltarem, afirmacoes sobre 'X esta forte demais' sao opiniao, nao medicao.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36" customWidth="1" min="1" max="1"/>
    <col width="12" customWidth="1" min="2" max="2"/>
    <col width="76" customWidth="1" min="3" max="3"/>
  </cols>
  <sheetData>
    <row r="1" ht="16.8" customHeight="1">
      <c r="A1" s="1" t="inlineStr">
        <is>
          <t>Parametros de referencia</t>
        </is>
      </c>
    </row>
    <row r="3">
      <c r="A3" s="5" t="inlineStr">
        <is>
          <t>Parametro</t>
        </is>
      </c>
      <c r="B3" s="5" t="inlineStr">
        <is>
          <t>Valor</t>
        </is>
      </c>
      <c r="C3" s="5" t="inlineStr">
        <is>
          <t>Observacao</t>
        </is>
      </c>
    </row>
    <row r="4">
      <c r="A4" s="2" t="inlineStr">
        <is>
          <t>Bonus de ataque do personagem</t>
        </is>
      </c>
      <c r="B4" s="6" t="n">
        <v>5</v>
      </c>
      <c r="C4" s="4" t="inlineStr">
        <is>
          <t>Modificador de atributo + proficiencia. Nivel baixo tipico.</t>
        </is>
      </c>
    </row>
    <row r="5">
      <c r="A5" s="2" t="inlineStr">
        <is>
          <t>Modificador de dano</t>
        </is>
      </c>
      <c r="B5" s="6" t="n">
        <v>3</v>
      </c>
      <c r="C5" s="4" t="inlineStr">
        <is>
          <t>Modificador do atributo usado pela arma.</t>
        </is>
      </c>
    </row>
    <row r="6">
      <c r="A6" s="2" t="inlineStr">
        <is>
          <t>Defesa do alvo</t>
        </is>
      </c>
      <c r="B6" s="6" t="n">
        <v>14</v>
      </c>
      <c r="C6" s="4" t="inlineStr">
        <is>
          <t>Zumbi comum hipotetico. [A CALIBRAR]</t>
        </is>
      </c>
    </row>
    <row r="7">
      <c r="A7" s="2" t="inlineStr">
        <is>
          <t>HP do alvo</t>
        </is>
      </c>
      <c r="B7" s="6" t="n">
        <v>12</v>
      </c>
      <c r="C7" s="4" t="inlineStr">
        <is>
          <t>Zumbi comum hipotetico. [A CALIBRAR]</t>
        </is>
      </c>
    </row>
    <row r="8">
      <c r="A8" s="2" t="inlineStr">
        <is>
          <t>Bonus de proficiencia</t>
        </is>
      </c>
      <c r="B8" s="6" t="n">
        <v>2</v>
      </c>
      <c r="C8" s="4" t="inlineStr">
        <is>
          <t>Descontado do ataque em armas Improvisadas. Progressao +2 a +6 [A CALIBRAR]</t>
        </is>
      </c>
    </row>
    <row r="10">
      <c r="A10" s="4" t="inlineStr">
        <is>
          <t>Edite apenas a coluna B. Todas as abas de armas apontam para estas cinco celulas.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min="1" max="1"/>
    <col width="28" customWidth="1" min="2" max="2"/>
    <col width="20" customWidth="1" min="3" max="3"/>
    <col width="5" customWidth="1" min="4" max="4"/>
    <col width="7" customWidth="1" min="5" max="5"/>
    <col width="5" customWidth="1" min="6" max="6"/>
    <col width="7" customWidth="1" min="7" max="7"/>
    <col width="12" customWidth="1" min="8" max="8"/>
    <col width="18" customWidth="1" min="9" max="9"/>
    <col width="10" customWidth="1" min="10" max="10"/>
    <col width="9" customWidth="1" min="11" max="11"/>
    <col width="40" customWidth="1" min="12" max="12"/>
    <col width="7" customWidth="1" min="13" max="13"/>
    <col width="11" customWidth="1" min="14" max="14"/>
    <col width="10" customWidth="1" min="15" max="15"/>
    <col width="9" customWidth="1" min="16" max="16"/>
    <col width="8" customWidth="1" min="17" max="17"/>
    <col width="10" customWidth="1" min="18" max="19"/>
    <col width="12" customWidth="1" min="20" max="20"/>
  </cols>
  <sheetData>
    <row r="1" ht="16.8" customHeight="1">
      <c r="A1" s="1" t="inlineStr">
        <is>
          <t>Armas de corpo a corpo - todos os tiers</t>
        </is>
      </c>
    </row>
    <row r="3" ht="26.4" customHeight="1">
      <c r="A3" s="5" t="inlineStr">
        <is>
          <t>Tier</t>
        </is>
      </c>
      <c r="B3" s="5" t="inlineStr">
        <is>
          <t>Arma</t>
        </is>
      </c>
      <c r="C3" s="5" t="inlineStr">
        <is>
          <t>Familia</t>
        </is>
      </c>
      <c r="D3" s="5" t="inlineStr">
        <is>
          <t>N</t>
        </is>
      </c>
      <c r="E3" s="5" t="inlineStr">
        <is>
          <t>Faces</t>
        </is>
      </c>
      <c r="F3" s="5" t="inlineStr">
        <is>
          <t>N2</t>
        </is>
      </c>
      <c r="G3" s="5" t="inlineStr">
        <is>
          <t>Faces2</t>
        </is>
      </c>
      <c r="H3" s="5" t="inlineStr">
        <is>
          <t>Dado</t>
        </is>
      </c>
      <c r="I3" s="5" t="inlineStr">
        <is>
          <t>Tipo de dano</t>
        </is>
      </c>
      <c r="J3" s="5" t="inlineStr">
        <is>
          <t>Ruido</t>
        </is>
      </c>
      <c r="K3" s="5" t="inlineStr">
        <is>
          <t>FOR min.</t>
        </is>
      </c>
      <c r="L3" s="5" t="inlineStr">
        <is>
          <t>Propriedades</t>
        </is>
      </c>
      <c r="M3" s="5" t="inlineStr">
        <is>
          <t>Impr.</t>
        </is>
      </c>
      <c r="N3" s="5" t="inlineStr">
        <is>
          <t>Dano medio</t>
        </is>
      </c>
      <c r="O3" s="5" t="inlineStr">
        <is>
          <t>P(acerto)</t>
        </is>
      </c>
      <c r="P3" s="5" t="inlineStr">
        <is>
          <t>DPR</t>
        </is>
      </c>
      <c r="Q3" s="5" t="inlineStr">
        <is>
          <t>F.sust.</t>
        </is>
      </c>
      <c r="R3" s="5" t="inlineStr">
        <is>
          <t>DPR sust.</t>
        </is>
      </c>
      <c r="S3" s="5" t="inlineStr">
        <is>
          <t>Rodadas</t>
        </is>
      </c>
      <c r="T3" s="7" t="inlineStr">
        <is>
          <t>Raridade</t>
        </is>
      </c>
    </row>
    <row r="4">
      <c r="A4" s="8" t="inlineStr">
        <is>
          <t>TIER CIVIL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</row>
    <row r="5">
      <c r="A5" s="10" t="inlineStr">
        <is>
          <t>Civil</t>
        </is>
      </c>
      <c r="B5" s="10" t="inlineStr">
        <is>
          <t>Punho</t>
        </is>
      </c>
      <c r="C5" s="10" t="inlineStr">
        <is>
          <t>Desarmado</t>
        </is>
      </c>
      <c r="D5" s="11" t="n">
        <v>1</v>
      </c>
      <c r="E5" s="11" t="n">
        <v>6</v>
      </c>
      <c r="F5" s="11" t="n"/>
      <c r="G5" s="11" t="n"/>
      <c r="H5" s="12">
        <f>D5&amp;"d"&amp;E5&amp;IF(F5="",""," + "&amp;F5&amp;"d"&amp;G5)</f>
        <v/>
      </c>
      <c r="I5" s="10" t="inlineStr">
        <is>
          <t>Concussao</t>
        </is>
      </c>
      <c r="J5" s="10" t="inlineStr">
        <is>
          <t>Baixo</t>
        </is>
      </c>
      <c r="K5" s="11" t="n"/>
      <c r="L5" s="10" t="inlineStr">
        <is>
          <t>Agil; assinatura do Pugilista</t>
        </is>
      </c>
      <c r="M5" s="13" t="inlineStr">
        <is>
          <t>-</t>
        </is>
      </c>
      <c r="N5" s="14">
        <f>D5*(E5+1)/2+IF(F5="",0,F5*(G5+1)/2)</f>
        <v/>
      </c>
      <c r="O5" s="15">
        <f>MIN(0.95,MAX(0.05,(21-(Parametros!$B$6-(Parametros!$B$4-IF(M5="sim",Parametros!$B$8,0))))/20))</f>
        <v/>
      </c>
      <c r="P5" s="14">
        <f>O5*(N5+Parametros!$B$5)+0.05*N5</f>
        <v/>
      </c>
      <c r="Q5" s="11" t="n">
        <v>1</v>
      </c>
      <c r="R5" s="14">
        <f>P5*Q5</f>
        <v/>
      </c>
      <c r="S5" s="14">
        <f>IF(R5&lt;=0,"",Parametros!$B$7/R5)</f>
        <v/>
      </c>
      <c r="T5" s="13" t="inlineStr">
        <is>
          <t>-</t>
        </is>
      </c>
    </row>
    <row r="6">
      <c r="A6" s="8" t="inlineStr">
        <is>
          <t>TIER IMPROVISO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</row>
    <row r="7">
      <c r="A7" s="10" t="inlineStr">
        <is>
          <t>Improviso</t>
        </is>
      </c>
      <c r="B7" s="10" t="inlineStr">
        <is>
          <t>Improvisada (cano, tijolo)</t>
        </is>
      </c>
      <c r="C7" s="10" t="inlineStr">
        <is>
          <t>Contundentes</t>
        </is>
      </c>
      <c r="D7" s="11" t="n">
        <v>1</v>
      </c>
      <c r="E7" s="11" t="n">
        <v>4</v>
      </c>
      <c r="F7" s="11" t="n"/>
      <c r="G7" s="11" t="n"/>
      <c r="H7" s="12">
        <f>D7&amp;"d"&amp;E7&amp;IF(F7="",""," + "&amp;F7&amp;"d"&amp;G7)</f>
        <v/>
      </c>
      <c r="I7" s="10" t="inlineStr">
        <is>
          <t>Concussao</t>
        </is>
      </c>
      <c r="J7" s="10" t="inlineStr">
        <is>
          <t>Baixo</t>
        </is>
      </c>
      <c r="K7" s="11" t="n"/>
      <c r="L7" s="10" t="inlineStr">
        <is>
          <t>Improvisada</t>
        </is>
      </c>
      <c r="M7" s="16" t="inlineStr">
        <is>
          <t>sim</t>
        </is>
      </c>
      <c r="N7" s="14">
        <f>D7*(E7+1)/2+IF(F7="",0,F7*(G7+1)/2)</f>
        <v/>
      </c>
      <c r="O7" s="15">
        <f>MIN(0.95,MAX(0.05,(21-(Parametros!$B$6-(Parametros!$B$4-IF(M7="sim",Parametros!$B$8,0))))/20))</f>
        <v/>
      </c>
      <c r="P7" s="14">
        <f>O7*(N7+Parametros!$B$5)+0.05*N7</f>
        <v/>
      </c>
      <c r="Q7" s="11" t="n">
        <v>1</v>
      </c>
      <c r="R7" s="14">
        <f>P7*Q7</f>
        <v/>
      </c>
      <c r="S7" s="14">
        <f>IF(R7&lt;=0,"",Parametros!$B$7/R7)</f>
        <v/>
      </c>
      <c r="T7" s="13" t="inlineStr">
        <is>
          <t>Abundante</t>
        </is>
      </c>
    </row>
    <row r="8">
      <c r="A8" s="10" t="inlineStr">
        <is>
          <t>Improviso</t>
        </is>
      </c>
      <c r="B8" s="10" t="inlineStr">
        <is>
          <t>Martelo</t>
        </is>
      </c>
      <c r="C8" s="10" t="inlineStr">
        <is>
          <t>Contundentes</t>
        </is>
      </c>
      <c r="D8" s="11" t="n">
        <v>1</v>
      </c>
      <c r="E8" s="11" t="n">
        <v>4</v>
      </c>
      <c r="F8" s="11" t="n"/>
      <c r="G8" s="11" t="n"/>
      <c r="H8" s="12">
        <f>D8&amp;"d"&amp;E8&amp;IF(F8="",""," + "&amp;F8&amp;"d"&amp;G8)</f>
        <v/>
      </c>
      <c r="I8" s="10" t="inlineStr">
        <is>
          <t>Concussao</t>
        </is>
      </c>
      <c r="J8" s="10" t="inlineStr">
        <is>
          <t>Baixo</t>
        </is>
      </c>
      <c r="K8" s="11" t="n"/>
      <c r="L8" s="10" t="inlineStr">
        <is>
          <t>Improvisada, Utilitaria</t>
        </is>
      </c>
      <c r="M8" s="16" t="inlineStr">
        <is>
          <t>sim</t>
        </is>
      </c>
      <c r="N8" s="14">
        <f>D8*(E8+1)/2+IF(F8="",0,F8*(G8+1)/2)</f>
        <v/>
      </c>
      <c r="O8" s="15">
        <f>MIN(0.95,MAX(0.05,(21-(Parametros!$B$6-(Parametros!$B$4-IF(M8="sim",Parametros!$B$8,0))))/20))</f>
        <v/>
      </c>
      <c r="P8" s="14">
        <f>O8*(N8+Parametros!$B$5)+0.05*N8</f>
        <v/>
      </c>
      <c r="Q8" s="11" t="n">
        <v>1</v>
      </c>
      <c r="R8" s="14">
        <f>P8*Q8</f>
        <v/>
      </c>
      <c r="S8" s="14">
        <f>IF(R8&lt;=0,"",Parametros!$B$7/R8)</f>
        <v/>
      </c>
      <c r="T8" s="13" t="inlineStr">
        <is>
          <t>Abundante</t>
        </is>
      </c>
    </row>
    <row r="9">
      <c r="A9" s="10" t="inlineStr">
        <is>
          <t>Improviso</t>
        </is>
      </c>
      <c r="B9" s="10" t="inlineStr">
        <is>
          <t>Garrafa Quebrada</t>
        </is>
      </c>
      <c r="C9" s="10" t="inlineStr">
        <is>
          <t>Laminas Curtas</t>
        </is>
      </c>
      <c r="D9" s="11" t="n">
        <v>1</v>
      </c>
      <c r="E9" s="11" t="n">
        <v>4</v>
      </c>
      <c r="F9" s="11" t="n"/>
      <c r="G9" s="11" t="n"/>
      <c r="H9" s="12">
        <f>D9&amp;"d"&amp;E9&amp;IF(F9="",""," + "&amp;F9&amp;"d"&amp;G9)</f>
        <v/>
      </c>
      <c r="I9" s="10" t="inlineStr">
        <is>
          <t>Cortante</t>
        </is>
      </c>
      <c r="J9" s="10" t="inlineStr">
        <is>
          <t>Silencioso</t>
        </is>
      </c>
      <c r="K9" s="11" t="n"/>
      <c r="L9" s="10" t="inlineStr">
        <is>
          <t>Agil, Leve, Improvisada, Fragil, Arremessavel (2/4)</t>
        </is>
      </c>
      <c r="M9" s="16" t="inlineStr">
        <is>
          <t>sim</t>
        </is>
      </c>
      <c r="N9" s="14">
        <f>D9*(E9+1)/2+IF(F9="",0,F9*(G9+1)/2)</f>
        <v/>
      </c>
      <c r="O9" s="15">
        <f>MIN(0.95,MAX(0.05,(21-(Parametros!$B$6-(Parametros!$B$4-IF(M9="sim",Parametros!$B$8,0))))/20))</f>
        <v/>
      </c>
      <c r="P9" s="14">
        <f>O9*(N9+Parametros!$B$5)+0.05*N9</f>
        <v/>
      </c>
      <c r="Q9" s="11" t="n">
        <v>1</v>
      </c>
      <c r="R9" s="14">
        <f>P9*Q9</f>
        <v/>
      </c>
      <c r="S9" s="14">
        <f>IF(R9&lt;=0,"",Parametros!$B$7/R9)</f>
        <v/>
      </c>
      <c r="T9" s="13" t="inlineStr">
        <is>
          <t>Abundante</t>
        </is>
      </c>
    </row>
    <row r="10">
      <c r="A10" s="10" t="inlineStr">
        <is>
          <t>Improviso</t>
        </is>
      </c>
      <c r="B10" s="10" t="inlineStr">
        <is>
          <t>Antena de Carro</t>
        </is>
      </c>
      <c r="C10" s="10" t="inlineStr">
        <is>
          <t>Laminas Curtas</t>
        </is>
      </c>
      <c r="D10" s="11" t="n">
        <v>1</v>
      </c>
      <c r="E10" s="11" t="n">
        <v>4</v>
      </c>
      <c r="F10" s="11" t="n"/>
      <c r="G10" s="11" t="n"/>
      <c r="H10" s="12">
        <f>D10&amp;"d"&amp;E10&amp;IF(F10="",""," + "&amp;F10&amp;"d"&amp;G10)</f>
        <v/>
      </c>
      <c r="I10" s="10" t="inlineStr">
        <is>
          <t>Cortante</t>
        </is>
      </c>
      <c r="J10" s="10" t="inlineStr">
        <is>
          <t>Silencioso</t>
        </is>
      </c>
      <c r="K10" s="11" t="n"/>
      <c r="L10" s="10" t="inlineStr">
        <is>
          <t>Agil, Leve, Improvisada, Fragil, Alcance 2 hex</t>
        </is>
      </c>
      <c r="M10" s="16" t="inlineStr">
        <is>
          <t>sim</t>
        </is>
      </c>
      <c r="N10" s="14">
        <f>D10*(E10+1)/2+IF(F10="",0,F10*(G10+1)/2)</f>
        <v/>
      </c>
      <c r="O10" s="15">
        <f>MIN(0.95,MAX(0.05,(21-(Parametros!$B$6-(Parametros!$B$4-IF(M10="sim",Parametros!$B$8,0))))/20))</f>
        <v/>
      </c>
      <c r="P10" s="14">
        <f>O10*(N10+Parametros!$B$5)+0.05*N10</f>
        <v/>
      </c>
      <c r="Q10" s="11" t="n">
        <v>1</v>
      </c>
      <c r="R10" s="14">
        <f>P10*Q10</f>
        <v/>
      </c>
      <c r="S10" s="14">
        <f>IF(R10&lt;=0,"",Parametros!$B$7/R10)</f>
        <v/>
      </c>
      <c r="T10" s="13" t="inlineStr">
        <is>
          <t>Abundante</t>
        </is>
      </c>
    </row>
    <row r="11">
      <c r="A11" s="10" t="inlineStr">
        <is>
          <t>Improviso</t>
        </is>
      </c>
      <c r="B11" s="10" t="inlineStr">
        <is>
          <t>Corrente c/ Gancho</t>
        </is>
      </c>
      <c r="C11" s="10" t="inlineStr">
        <is>
          <t>Hastes</t>
        </is>
      </c>
      <c r="D11" s="11" t="n">
        <v>1</v>
      </c>
      <c r="E11" s="11" t="n">
        <v>6</v>
      </c>
      <c r="F11" s="11" t="n"/>
      <c r="G11" s="11" t="n"/>
      <c r="H11" s="12">
        <f>D11&amp;"d"&amp;E11&amp;IF(F11="",""," + "&amp;F11&amp;"d"&amp;G11)</f>
        <v/>
      </c>
      <c r="I11" s="10" t="inlineStr">
        <is>
          <t>Perfurante</t>
        </is>
      </c>
      <c r="J11" s="10" t="inlineStr">
        <is>
          <t>Silencioso</t>
        </is>
      </c>
      <c r="K11" s="11" t="n"/>
      <c r="L11" s="10" t="inlineStr">
        <is>
          <t>Duas maos, Alcance 2 hex, Improvisada, Lenta, Enganchar</t>
        </is>
      </c>
      <c r="M11" s="16" t="inlineStr">
        <is>
          <t>sim</t>
        </is>
      </c>
      <c r="N11" s="14">
        <f>D11*(E11+1)/2+IF(F11="",0,F11*(G11+1)/2)</f>
        <v/>
      </c>
      <c r="O11" s="15">
        <f>MIN(0.95,MAX(0.05,(21-(Parametros!$B$6-(Parametros!$B$4-IF(M11="sim",Parametros!$B$8,0))))/20))</f>
        <v/>
      </c>
      <c r="P11" s="14">
        <f>O11*(N11+Parametros!$B$5)+0.05*N11</f>
        <v/>
      </c>
      <c r="Q11" s="11" t="n">
        <v>1</v>
      </c>
      <c r="R11" s="14">
        <f>P11*Q11</f>
        <v/>
      </c>
      <c r="S11" s="14">
        <f>IF(R11&lt;=0,"",Parametros!$B$7/R11)</f>
        <v/>
      </c>
      <c r="T11" s="13" t="inlineStr">
        <is>
          <t>Abundante</t>
        </is>
      </c>
    </row>
    <row r="12">
      <c r="A12" s="10" t="inlineStr">
        <is>
          <t>Improviso</t>
        </is>
      </c>
      <c r="B12" s="10" t="inlineStr">
        <is>
          <t>Tampa de Bueiro</t>
        </is>
      </c>
      <c r="C12" s="10" t="inlineStr">
        <is>
          <t>Contundentes</t>
        </is>
      </c>
      <c r="D12" s="11" t="n">
        <v>1</v>
      </c>
      <c r="E12" s="11" t="n">
        <v>6</v>
      </c>
      <c r="F12" s="11" t="n"/>
      <c r="G12" s="11" t="n"/>
      <c r="H12" s="12">
        <f>D12&amp;"d"&amp;E12&amp;IF(F12="",""," + "&amp;F12&amp;"d"&amp;G12)</f>
        <v/>
      </c>
      <c r="I12" s="10" t="inlineStr">
        <is>
          <t>Concussao</t>
        </is>
      </c>
      <c r="J12" s="10" t="inlineStr">
        <is>
          <t>Baixo</t>
        </is>
      </c>
      <c r="K12" s="11" t="n">
        <v>14</v>
      </c>
      <c r="L12" s="10" t="inlineStr">
        <is>
          <t>Duas maos, Pesada, Improvisada, Lenta; cobertura se nao atacar</t>
        </is>
      </c>
      <c r="M12" s="16" t="inlineStr">
        <is>
          <t>sim</t>
        </is>
      </c>
      <c r="N12" s="14">
        <f>D12*(E12+1)/2+IF(F12="",0,F12*(G12+1)/2)</f>
        <v/>
      </c>
      <c r="O12" s="15">
        <f>MIN(0.95,MAX(0.05,(21-(Parametros!$B$6-(Parametros!$B$4-IF(M12="sim",Parametros!$B$8,0))))/20))</f>
        <v/>
      </c>
      <c r="P12" s="14">
        <f>O12*(N12+Parametros!$B$5)+0.05*N12</f>
        <v/>
      </c>
      <c r="Q12" s="11" t="n">
        <v>1</v>
      </c>
      <c r="R12" s="14">
        <f>P12*Q12</f>
        <v/>
      </c>
      <c r="S12" s="14">
        <f>IF(R12&lt;=0,"",Parametros!$B$7/R12)</f>
        <v/>
      </c>
      <c r="T12" s="13" t="inlineStr">
        <is>
          <t>Abundante</t>
        </is>
      </c>
    </row>
    <row r="13">
      <c r="A13" s="10" t="inlineStr">
        <is>
          <t>Improviso</t>
        </is>
      </c>
      <c r="B13" s="10" t="inlineStr">
        <is>
          <t>Bateria de Carro c/ Garras</t>
        </is>
      </c>
      <c r="C13" s="10" t="inlineStr">
        <is>
          <t>Contundentes</t>
        </is>
      </c>
      <c r="D13" s="11" t="n">
        <v>1</v>
      </c>
      <c r="E13" s="11" t="n">
        <v>6</v>
      </c>
      <c r="F13" s="11" t="n"/>
      <c r="G13" s="11" t="n"/>
      <c r="H13" s="12">
        <f>D13&amp;"d"&amp;E13&amp;IF(F13="",""," + "&amp;F13&amp;"d"&amp;G13)</f>
        <v/>
      </c>
      <c r="I13" s="10" t="inlineStr">
        <is>
          <t>Eletrico/EMP</t>
        </is>
      </c>
      <c r="J13" s="10" t="inlineStr">
        <is>
          <t>Baixo</t>
        </is>
      </c>
      <c r="K13" s="11" t="n">
        <v>13</v>
      </c>
      <c r="L13" s="10" t="inlineStr">
        <is>
          <t>Duas maos, Pesada, Improvisada, Lenta, Carga (3)</t>
        </is>
      </c>
      <c r="M13" s="16" t="inlineStr">
        <is>
          <t>sim</t>
        </is>
      </c>
      <c r="N13" s="14">
        <f>D13*(E13+1)/2+IF(F13="",0,F13*(G13+1)/2)</f>
        <v/>
      </c>
      <c r="O13" s="15">
        <f>MIN(0.95,MAX(0.05,(21-(Parametros!$B$6-(Parametros!$B$4-IF(M13="sim",Parametros!$B$8,0))))/20))</f>
        <v/>
      </c>
      <c r="P13" s="14">
        <f>O13*(N13+Parametros!$B$5)+0.05*N13</f>
        <v/>
      </c>
      <c r="Q13" s="11" t="n">
        <v>1</v>
      </c>
      <c r="R13" s="14">
        <f>P13*Q13</f>
        <v/>
      </c>
      <c r="S13" s="14">
        <f>IF(R13&lt;=0,"",Parametros!$B$7/R13)</f>
        <v/>
      </c>
      <c r="T13" s="13" t="inlineStr">
        <is>
          <t>Abundante</t>
        </is>
      </c>
    </row>
    <row r="14">
      <c r="A14" s="10" t="inlineStr">
        <is>
          <t>Improviso</t>
        </is>
      </c>
      <c r="B14" s="10" t="inlineStr">
        <is>
          <t>Lanca Artesanal</t>
        </is>
      </c>
      <c r="C14" s="10" t="inlineStr">
        <is>
          <t>Hastes</t>
        </is>
      </c>
      <c r="D14" s="11" t="n">
        <v>1</v>
      </c>
      <c r="E14" s="11" t="n">
        <v>8</v>
      </c>
      <c r="F14" s="11" t="n"/>
      <c r="G14" s="11" t="n"/>
      <c r="H14" s="12">
        <f>D14&amp;"d"&amp;E14&amp;IF(F14="",""," + "&amp;F14&amp;"d"&amp;G14)</f>
        <v/>
      </c>
      <c r="I14" s="10" t="inlineStr">
        <is>
          <t>Perfurante</t>
        </is>
      </c>
      <c r="J14" s="10" t="inlineStr">
        <is>
          <t>Silencioso</t>
        </is>
      </c>
      <c r="K14" s="11" t="n"/>
      <c r="L14" s="10" t="inlineStr">
        <is>
          <t>Alcance 2 hex, Fragil</t>
        </is>
      </c>
      <c r="M14" s="13" t="inlineStr">
        <is>
          <t>-</t>
        </is>
      </c>
      <c r="N14" s="14">
        <f>D14*(E14+1)/2+IF(F14="",0,F14*(G14+1)/2)</f>
        <v/>
      </c>
      <c r="O14" s="15">
        <f>MIN(0.95,MAX(0.05,(21-(Parametros!$B$6-(Parametros!$B$4-IF(M14="sim",Parametros!$B$8,0))))/20))</f>
        <v/>
      </c>
      <c r="P14" s="14">
        <f>O14*(N14+Parametros!$B$5)+0.05*N14</f>
        <v/>
      </c>
      <c r="Q14" s="11" t="n">
        <v>1</v>
      </c>
      <c r="R14" s="14">
        <f>P14*Q14</f>
        <v/>
      </c>
      <c r="S14" s="14">
        <f>IF(R14&lt;=0,"",Parametros!$B$7/R14)</f>
        <v/>
      </c>
      <c r="T14" s="13" t="inlineStr">
        <is>
          <t>Abundante</t>
        </is>
      </c>
    </row>
    <row r="15">
      <c r="A15" s="10" t="inlineStr">
        <is>
          <t>Improviso</t>
        </is>
      </c>
      <c r="B15" s="10" t="inlineStr">
        <is>
          <t>Extintor Vazio</t>
        </is>
      </c>
      <c r="C15" s="10" t="inlineStr">
        <is>
          <t>Contundentes</t>
        </is>
      </c>
      <c r="D15" s="11" t="n">
        <v>1</v>
      </c>
      <c r="E15" s="11" t="n">
        <v>8</v>
      </c>
      <c r="F15" s="11" t="n"/>
      <c r="G15" s="11" t="n"/>
      <c r="H15" s="12">
        <f>D15&amp;"d"&amp;E15&amp;IF(F15="",""," + "&amp;F15&amp;"d"&amp;G15)</f>
        <v/>
      </c>
      <c r="I15" s="10" t="inlineStr">
        <is>
          <t>Concussao</t>
        </is>
      </c>
      <c r="J15" s="10" t="inlineStr">
        <is>
          <t>Baixo</t>
        </is>
      </c>
      <c r="K15" s="11" t="n">
        <v>12</v>
      </c>
      <c r="L15" s="10" t="inlineStr">
        <is>
          <t>Duas maos, Pesada, Improvisada, Lenta</t>
        </is>
      </c>
      <c r="M15" s="16" t="inlineStr">
        <is>
          <t>sim</t>
        </is>
      </c>
      <c r="N15" s="14">
        <f>D15*(E15+1)/2+IF(F15="",0,F15*(G15+1)/2)</f>
        <v/>
      </c>
      <c r="O15" s="15">
        <f>MIN(0.95,MAX(0.05,(21-(Parametros!$B$6-(Parametros!$B$4-IF(M15="sim",Parametros!$B$8,0))))/20))</f>
        <v/>
      </c>
      <c r="P15" s="14">
        <f>O15*(N15+Parametros!$B$5)+0.05*N15</f>
        <v/>
      </c>
      <c r="Q15" s="11" t="n">
        <v>1</v>
      </c>
      <c r="R15" s="14">
        <f>P15*Q15</f>
        <v/>
      </c>
      <c r="S15" s="14">
        <f>IF(R15&lt;=0,"",Parametros!$B$7/R15)</f>
        <v/>
      </c>
      <c r="T15" s="13" t="inlineStr">
        <is>
          <t>Abundante</t>
        </is>
      </c>
    </row>
    <row r="16">
      <c r="A16" s="8" t="inlineStr">
        <is>
          <t>TIER CIVIL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>
      <c r="A17" s="10" t="inlineStr">
        <is>
          <t>Civil</t>
        </is>
      </c>
      <c r="B17" s="10" t="inlineStr">
        <is>
          <t>Cacetete</t>
        </is>
      </c>
      <c r="C17" s="10" t="inlineStr">
        <is>
          <t>Contundentes</t>
        </is>
      </c>
      <c r="D17" s="11" t="n">
        <v>1</v>
      </c>
      <c r="E17" s="11" t="n">
        <v>6</v>
      </c>
      <c r="F17" s="11" t="n"/>
      <c r="G17" s="11" t="n"/>
      <c r="H17" s="12">
        <f>D17&amp;"d"&amp;E17&amp;IF(F17="",""," + "&amp;F17&amp;"d"&amp;G17)</f>
        <v/>
      </c>
      <c r="I17" s="10" t="inlineStr">
        <is>
          <t>Concussao</t>
        </is>
      </c>
      <c r="J17" s="10" t="inlineStr">
        <is>
          <t>Baixo</t>
        </is>
      </c>
      <c r="K17" s="11" t="n"/>
      <c r="L17" s="10" t="inlineStr">
        <is>
          <t>-</t>
        </is>
      </c>
      <c r="M17" s="13" t="inlineStr">
        <is>
          <t>-</t>
        </is>
      </c>
      <c r="N17" s="14">
        <f>D17*(E17+1)/2+IF(F17="",0,F17*(G17+1)/2)</f>
        <v/>
      </c>
      <c r="O17" s="15">
        <f>MIN(0.95,MAX(0.05,(21-(Parametros!$B$6-(Parametros!$B$4-IF(M17="sim",Parametros!$B$8,0))))/20))</f>
        <v/>
      </c>
      <c r="P17" s="14">
        <f>O17*(N17+Parametros!$B$5)+0.05*N17</f>
        <v/>
      </c>
      <c r="Q17" s="11" t="n">
        <v>1</v>
      </c>
      <c r="R17" s="14">
        <f>P17*Q17</f>
        <v/>
      </c>
      <c r="S17" s="14">
        <f>IF(R17&lt;=0,"",Parametros!$B$7/R17)</f>
        <v/>
      </c>
      <c r="T17" s="13" t="inlineStr">
        <is>
          <t>Comum</t>
        </is>
      </c>
    </row>
    <row r="18">
      <c r="A18" s="10" t="inlineStr">
        <is>
          <t>Civil</t>
        </is>
      </c>
      <c r="B18" s="10" t="inlineStr">
        <is>
          <t>Faca / Facao</t>
        </is>
      </c>
      <c r="C18" s="10" t="inlineStr">
        <is>
          <t>Laminas Curtas</t>
        </is>
      </c>
      <c r="D18" s="11" t="n">
        <v>1</v>
      </c>
      <c r="E18" s="11" t="n">
        <v>6</v>
      </c>
      <c r="F18" s="11" t="n"/>
      <c r="G18" s="11" t="n"/>
      <c r="H18" s="12">
        <f>D18&amp;"d"&amp;E18&amp;IF(F18="",""," + "&amp;F18&amp;"d"&amp;G18)</f>
        <v/>
      </c>
      <c r="I18" s="10" t="inlineStr">
        <is>
          <t>Cortante</t>
        </is>
      </c>
      <c r="J18" s="10" t="inlineStr">
        <is>
          <t>Silencioso</t>
        </is>
      </c>
      <c r="K18" s="11" t="n"/>
      <c r="L18" s="10" t="inlineStr">
        <is>
          <t>Agil, Leve</t>
        </is>
      </c>
      <c r="M18" s="13" t="inlineStr">
        <is>
          <t>-</t>
        </is>
      </c>
      <c r="N18" s="14">
        <f>D18*(E18+1)/2+IF(F18="",0,F18*(G18+1)/2)</f>
        <v/>
      </c>
      <c r="O18" s="15">
        <f>MIN(0.95,MAX(0.05,(21-(Parametros!$B$6-(Parametros!$B$4-IF(M18="sim",Parametros!$B$8,0))))/20))</f>
        <v/>
      </c>
      <c r="P18" s="14">
        <f>O18*(N18+Parametros!$B$5)+0.05*N18</f>
        <v/>
      </c>
      <c r="Q18" s="11" t="n">
        <v>1</v>
      </c>
      <c r="R18" s="14">
        <f>P18*Q18</f>
        <v/>
      </c>
      <c r="S18" s="14">
        <f>IF(R18&lt;=0,"",Parametros!$B$7/R18)</f>
        <v/>
      </c>
      <c r="T18" s="13" t="inlineStr">
        <is>
          <t>Comum</t>
        </is>
      </c>
    </row>
    <row r="19">
      <c r="A19" s="10" t="inlineStr">
        <is>
          <t>Civil</t>
        </is>
      </c>
      <c r="B19" s="10" t="inlineStr">
        <is>
          <t>Machadinha</t>
        </is>
      </c>
      <c r="C19" s="10" t="inlineStr">
        <is>
          <t>Laminas Curtas</t>
        </is>
      </c>
      <c r="D19" s="11" t="n">
        <v>1</v>
      </c>
      <c r="E19" s="11" t="n">
        <v>6</v>
      </c>
      <c r="F19" s="11" t="n"/>
      <c r="G19" s="11" t="n"/>
      <c r="H19" s="12">
        <f>D19&amp;"d"&amp;E19&amp;IF(F19="",""," + "&amp;F19&amp;"d"&amp;G19)</f>
        <v/>
      </c>
      <c r="I19" s="10" t="inlineStr">
        <is>
          <t>Cortante</t>
        </is>
      </c>
      <c r="J19" s="10" t="inlineStr">
        <is>
          <t>Silencioso</t>
        </is>
      </c>
      <c r="K19" s="11" t="n"/>
      <c r="L19" s="10" t="inlineStr">
        <is>
          <t>Agil, Arremessavel (4/12)</t>
        </is>
      </c>
      <c r="M19" s="13" t="inlineStr">
        <is>
          <t>-</t>
        </is>
      </c>
      <c r="N19" s="14">
        <f>D19*(E19+1)/2+IF(F19="",0,F19*(G19+1)/2)</f>
        <v/>
      </c>
      <c r="O19" s="15">
        <f>MIN(0.95,MAX(0.05,(21-(Parametros!$B$6-(Parametros!$B$4-IF(M19="sim",Parametros!$B$8,0))))/20))</f>
        <v/>
      </c>
      <c r="P19" s="14">
        <f>O19*(N19+Parametros!$B$5)+0.05*N19</f>
        <v/>
      </c>
      <c r="Q19" s="11" t="n">
        <v>1</v>
      </c>
      <c r="R19" s="14">
        <f>P19*Q19</f>
        <v/>
      </c>
      <c r="S19" s="14">
        <f>IF(R19&lt;=0,"",Parametros!$B$7/R19)</f>
        <v/>
      </c>
      <c r="T19" s="13" t="inlineStr">
        <is>
          <t>Comum</t>
        </is>
      </c>
    </row>
    <row r="20">
      <c r="A20" s="10" t="inlineStr">
        <is>
          <t>Civil</t>
        </is>
      </c>
      <c r="B20" s="10" t="inlineStr">
        <is>
          <t>Taco de Golfe (Ferro 7)</t>
        </is>
      </c>
      <c r="C20" s="10" t="inlineStr">
        <is>
          <t>Contundentes</t>
        </is>
      </c>
      <c r="D20" s="11" t="n">
        <v>1</v>
      </c>
      <c r="E20" s="11" t="n">
        <v>6</v>
      </c>
      <c r="F20" s="11" t="n"/>
      <c r="G20" s="11" t="n"/>
      <c r="H20" s="12">
        <f>D20&amp;"d"&amp;E20&amp;IF(F20="",""," + "&amp;F20&amp;"d"&amp;G20)</f>
        <v/>
      </c>
      <c r="I20" s="10" t="inlineStr">
        <is>
          <t>Concussao</t>
        </is>
      </c>
      <c r="J20" s="10" t="inlineStr">
        <is>
          <t>Baixo</t>
        </is>
      </c>
      <c r="K20" s="11" t="n"/>
      <c r="L20" s="10" t="inlineStr">
        <is>
          <t>Agil, Leve, Fragil</t>
        </is>
      </c>
      <c r="M20" s="13" t="inlineStr">
        <is>
          <t>-</t>
        </is>
      </c>
      <c r="N20" s="14">
        <f>D20*(E20+1)/2+IF(F20="",0,F20*(G20+1)/2)</f>
        <v/>
      </c>
      <c r="O20" s="15">
        <f>MIN(0.95,MAX(0.05,(21-(Parametros!$B$6-(Parametros!$B$4-IF(M20="sim",Parametros!$B$8,0))))/20))</f>
        <v/>
      </c>
      <c r="P20" s="14">
        <f>O20*(N20+Parametros!$B$5)+0.05*N20</f>
        <v/>
      </c>
      <c r="Q20" s="11" t="n">
        <v>1</v>
      </c>
      <c r="R20" s="14">
        <f>P20*Q20</f>
        <v/>
      </c>
      <c r="S20" s="14">
        <f>IF(R20&lt;=0,"",Parametros!$B$7/R20)</f>
        <v/>
      </c>
      <c r="T20" s="13" t="inlineStr">
        <is>
          <t>Comum</t>
        </is>
      </c>
    </row>
    <row r="21">
      <c r="A21" s="10" t="inlineStr">
        <is>
          <t>Civil</t>
        </is>
      </c>
      <c r="B21" s="10" t="inlineStr">
        <is>
          <t>Tesoura de Poda de Altura</t>
        </is>
      </c>
      <c r="C21" s="10" t="inlineStr">
        <is>
          <t>Hastes</t>
        </is>
      </c>
      <c r="D21" s="11" t="n">
        <v>1</v>
      </c>
      <c r="E21" s="11" t="n">
        <v>6</v>
      </c>
      <c r="F21" s="11" t="n"/>
      <c r="G21" s="11" t="n"/>
      <c r="H21" s="12">
        <f>D21&amp;"d"&amp;E21&amp;IF(F21="",""," + "&amp;F21&amp;"d"&amp;G21)</f>
        <v/>
      </c>
      <c r="I21" s="10" t="inlineStr">
        <is>
          <t>Cortante</t>
        </is>
      </c>
      <c r="J21" s="10" t="inlineStr">
        <is>
          <t>Silencioso</t>
        </is>
      </c>
      <c r="K21" s="11" t="n"/>
      <c r="L21" s="10" t="inlineStr">
        <is>
          <t>Duas maos, Alcance 2 hex, Utilitaria, Fragil</t>
        </is>
      </c>
      <c r="M21" s="13" t="inlineStr">
        <is>
          <t>-</t>
        </is>
      </c>
      <c r="N21" s="14">
        <f>D21*(E21+1)/2+IF(F21="",0,F21*(G21+1)/2)</f>
        <v/>
      </c>
      <c r="O21" s="15">
        <f>MIN(0.95,MAX(0.05,(21-(Parametros!$B$6-(Parametros!$B$4-IF(M21="sim",Parametros!$B$8,0))))/20))</f>
        <v/>
      </c>
      <c r="P21" s="14">
        <f>O21*(N21+Parametros!$B$5)+0.05*N21</f>
        <v/>
      </c>
      <c r="Q21" s="11" t="n">
        <v>1</v>
      </c>
      <c r="R21" s="14">
        <f>P21*Q21</f>
        <v/>
      </c>
      <c r="S21" s="14">
        <f>IF(R21&lt;=0,"",Parametros!$B$7/R21)</f>
        <v/>
      </c>
      <c r="T21" s="13" t="inlineStr">
        <is>
          <t>Comum</t>
        </is>
      </c>
    </row>
    <row r="22">
      <c r="A22" s="10" t="inlineStr">
        <is>
          <t>Civil</t>
        </is>
      </c>
      <c r="B22" s="10" t="inlineStr">
        <is>
          <t>Macarico de Solda Portatil</t>
        </is>
      </c>
      <c r="C22" s="10" t="inlineStr">
        <is>
          <t>Dispositivos</t>
        </is>
      </c>
      <c r="D22" s="11" t="n">
        <v>1</v>
      </c>
      <c r="E22" s="11" t="n">
        <v>6</v>
      </c>
      <c r="F22" s="11" t="n"/>
      <c r="G22" s="11" t="n"/>
      <c r="H22" s="12">
        <f>D22&amp;"d"&amp;E22&amp;IF(F22="",""," + "&amp;F22&amp;"d"&amp;G22)</f>
        <v/>
      </c>
      <c r="I22" s="10" t="inlineStr">
        <is>
          <t>Fogo</t>
        </is>
      </c>
      <c r="J22" s="10" t="inlineStr">
        <is>
          <t>Baixo</t>
        </is>
      </c>
      <c r="K22" s="11" t="n"/>
      <c r="L22" s="10" t="inlineStr">
        <is>
          <t>Duas maos, Alcance 2 hex, Utilitaria, Carga (6)</t>
        </is>
      </c>
      <c r="M22" s="13" t="inlineStr">
        <is>
          <t>-</t>
        </is>
      </c>
      <c r="N22" s="14">
        <f>D22*(E22+1)/2+IF(F22="",0,F22*(G22+1)/2)</f>
        <v/>
      </c>
      <c r="O22" s="15">
        <f>MIN(0.95,MAX(0.05,(21-(Parametros!$B$6-(Parametros!$B$4-IF(M22="sim",Parametros!$B$8,0))))/20))</f>
        <v/>
      </c>
      <c r="P22" s="14">
        <f>O22*(N22+Parametros!$B$5)+0.05*N22</f>
        <v/>
      </c>
      <c r="Q22" s="11" t="n">
        <v>1</v>
      </c>
      <c r="R22" s="14">
        <f>P22*Q22</f>
        <v/>
      </c>
      <c r="S22" s="14">
        <f>IF(R22&lt;=0,"",Parametros!$B$7/R22)</f>
        <v/>
      </c>
      <c r="T22" s="13" t="inlineStr">
        <is>
          <t>Comum</t>
        </is>
      </c>
    </row>
    <row r="23">
      <c r="A23" s="10" t="inlineStr">
        <is>
          <t>Civil</t>
        </is>
      </c>
      <c r="B23" s="10" t="inlineStr">
        <is>
          <t>Soqueira</t>
        </is>
      </c>
      <c r="C23" s="10" t="inlineStr">
        <is>
          <t>Desarmado</t>
        </is>
      </c>
      <c r="D23" s="11" t="n">
        <v>2</v>
      </c>
      <c r="E23" s="11" t="n">
        <v>4</v>
      </c>
      <c r="F23" s="11" t="n"/>
      <c r="G23" s="11" t="n"/>
      <c r="H23" s="12">
        <f>D23&amp;"d"&amp;E23&amp;IF(F23="",""," + "&amp;F23&amp;"d"&amp;G23)</f>
        <v/>
      </c>
      <c r="I23" s="10" t="inlineStr">
        <is>
          <t>Concussao</t>
        </is>
      </c>
      <c r="J23" s="10" t="inlineStr">
        <is>
          <t>Baixo</t>
        </is>
      </c>
      <c r="K23" s="11" t="n"/>
      <c r="L23" s="10" t="inlineStr">
        <is>
          <t>Duas rolagens de acerto; mod. de dano SO no 1o golpe</t>
        </is>
      </c>
      <c r="M23" s="13" t="inlineStr">
        <is>
          <t>-</t>
        </is>
      </c>
      <c r="N23" s="14">
        <f>D23*(E23+1)/2+IF(F23="",0,F23*(G23+1)/2)</f>
        <v/>
      </c>
      <c r="O23" s="15">
        <f>MIN(0.95,MAX(0.05,(21-(Parametros!$B$6-(Parametros!$B$4-IF(M23="sim",Parametros!$B$8,0))))/20))</f>
        <v/>
      </c>
      <c r="P23" s="14">
        <f>O23*(N23+Parametros!$B$5)+0.05*N23</f>
        <v/>
      </c>
      <c r="Q23" s="11" t="n">
        <v>1</v>
      </c>
      <c r="R23" s="14">
        <f>P23*Q23</f>
        <v/>
      </c>
      <c r="S23" s="14">
        <f>IF(R23&lt;=0,"",Parametros!$B$7/R23)</f>
        <v/>
      </c>
      <c r="T23" s="13" t="inlineStr">
        <is>
          <t>Comum</t>
        </is>
      </c>
    </row>
    <row r="24">
      <c r="A24" s="10" t="inlineStr">
        <is>
          <t>Civil</t>
        </is>
      </c>
      <c r="B24" s="10" t="inlineStr">
        <is>
          <t>Pulverizador Costal</t>
        </is>
      </c>
      <c r="C24" s="10" t="inlineStr">
        <is>
          <t>Dispositivos</t>
        </is>
      </c>
      <c r="D24" s="11" t="n">
        <v>1</v>
      </c>
      <c r="E24" s="11" t="n">
        <v>4</v>
      </c>
      <c r="F24" s="11" t="n"/>
      <c r="G24" s="11" t="n"/>
      <c r="H24" s="12">
        <f>D24&amp;"d"&amp;E24&amp;IF(F24="",""," + "&amp;F24&amp;"d"&amp;G24)</f>
        <v/>
      </c>
      <c r="I24" s="10" t="inlineStr">
        <is>
          <t>Quimico</t>
        </is>
      </c>
      <c r="J24" s="10" t="inlineStr">
        <is>
          <t>Baixo</t>
        </is>
      </c>
      <c r="K24" s="11" t="n"/>
      <c r="L24" s="10" t="inlineStr">
        <is>
          <t>Duas maos, Cone (2 hex), Lenta</t>
        </is>
      </c>
      <c r="M24" s="13" t="inlineStr">
        <is>
          <t>-</t>
        </is>
      </c>
      <c r="N24" s="14">
        <f>D24*(E24+1)/2+IF(F24="",0,F24*(G24+1)/2)</f>
        <v/>
      </c>
      <c r="O24" s="15">
        <f>MIN(0.95,MAX(0.05,(21-(Parametros!$B$6-(Parametros!$B$4-IF(M24="sim",Parametros!$B$8,0))))/20))</f>
        <v/>
      </c>
      <c r="P24" s="14">
        <f>O24*(N24+Parametros!$B$5)+0.05*N24</f>
        <v/>
      </c>
      <c r="Q24" s="11" t="n">
        <v>1</v>
      </c>
      <c r="R24" s="14">
        <f>P24*Q24</f>
        <v/>
      </c>
      <c r="S24" s="14">
        <f>IF(R24&lt;=0,"",Parametros!$B$7/R24)</f>
        <v/>
      </c>
      <c r="T24" s="13" t="inlineStr">
        <is>
          <t>Comum</t>
        </is>
      </c>
    </row>
    <row r="25">
      <c r="A25" s="10" t="inlineStr">
        <is>
          <t>Civil</t>
        </is>
      </c>
      <c r="B25" s="10" t="inlineStr">
        <is>
          <t>Seringa de Pressao Veterinaria</t>
        </is>
      </c>
      <c r="C25" s="10" t="inlineStr">
        <is>
          <t>Laminas Curtas</t>
        </is>
      </c>
      <c r="D25" s="11" t="n">
        <v>1</v>
      </c>
      <c r="E25" s="11" t="n">
        <v>4</v>
      </c>
      <c r="F25" s="11" t="n"/>
      <c r="G25" s="11" t="n"/>
      <c r="H25" s="12">
        <f>D25&amp;"d"&amp;E25&amp;IF(F25="",""," + "&amp;F25&amp;"d"&amp;G25)</f>
        <v/>
      </c>
      <c r="I25" s="10" t="inlineStr">
        <is>
          <t>Perfurante</t>
        </is>
      </c>
      <c r="J25" s="10" t="inlineStr">
        <is>
          <t>Silencioso</t>
        </is>
      </c>
      <c r="K25" s="11" t="n"/>
      <c r="L25" s="10" t="inlineStr">
        <is>
          <t>Leve, Agil, Fragil, Recarga</t>
        </is>
      </c>
      <c r="M25" s="13" t="inlineStr">
        <is>
          <t>-</t>
        </is>
      </c>
      <c r="N25" s="14">
        <f>D25*(E25+1)/2+IF(F25="",0,F25*(G25+1)/2)</f>
        <v/>
      </c>
      <c r="O25" s="15">
        <f>MIN(0.95,MAX(0.05,(21-(Parametros!$B$6-(Parametros!$B$4-IF(M25="sim",Parametros!$B$8,0))))/20))</f>
        <v/>
      </c>
      <c r="P25" s="14">
        <f>O25*(N25+Parametros!$B$5)+0.05*N25</f>
        <v/>
      </c>
      <c r="Q25" s="11" t="n">
        <v>0.5</v>
      </c>
      <c r="R25" s="14">
        <f>P25*Q25</f>
        <v/>
      </c>
      <c r="S25" s="14">
        <f>IF(R25&lt;=0,"",Parametros!$B$7/R25)</f>
        <v/>
      </c>
      <c r="T25" s="13" t="inlineStr">
        <is>
          <t>Comum</t>
        </is>
      </c>
    </row>
    <row r="26">
      <c r="A26" s="10" t="inlineStr">
        <is>
          <t>Civil</t>
        </is>
      </c>
      <c r="B26" s="10" t="inlineStr">
        <is>
          <t>Taco de Baseball</t>
        </is>
      </c>
      <c r="C26" s="10" t="inlineStr">
        <is>
          <t>Contundentes</t>
        </is>
      </c>
      <c r="D26" s="11" t="n">
        <v>1</v>
      </c>
      <c r="E26" s="11" t="n">
        <v>8</v>
      </c>
      <c r="F26" s="11" t="n"/>
      <c r="G26" s="11" t="n"/>
      <c r="H26" s="12">
        <f>D26&amp;"d"&amp;E26&amp;IF(F26="",""," + "&amp;F26&amp;"d"&amp;G26)</f>
        <v/>
      </c>
      <c r="I26" s="10" t="inlineStr">
        <is>
          <t>Concussao</t>
        </is>
      </c>
      <c r="J26" s="10" t="inlineStr">
        <is>
          <t>Baixo</t>
        </is>
      </c>
      <c r="K26" s="11" t="n"/>
      <c r="L26" s="10" t="inlineStr">
        <is>
          <t>Flexivel (2 maos: 1d10)</t>
        </is>
      </c>
      <c r="M26" s="13" t="inlineStr">
        <is>
          <t>-</t>
        </is>
      </c>
      <c r="N26" s="14">
        <f>D26*(E26+1)/2+IF(F26="",0,F26*(G26+1)/2)</f>
        <v/>
      </c>
      <c r="O26" s="15">
        <f>MIN(0.95,MAX(0.05,(21-(Parametros!$B$6-(Parametros!$B$4-IF(M26="sim",Parametros!$B$8,0))))/20))</f>
        <v/>
      </c>
      <c r="P26" s="14">
        <f>O26*(N26+Parametros!$B$5)+0.05*N26</f>
        <v/>
      </c>
      <c r="Q26" s="11" t="n">
        <v>1</v>
      </c>
      <c r="R26" s="14">
        <f>P26*Q26</f>
        <v/>
      </c>
      <c r="S26" s="14">
        <f>IF(R26&lt;=0,"",Parametros!$B$7/R26)</f>
        <v/>
      </c>
      <c r="T26" s="13" t="inlineStr">
        <is>
          <t>Comum</t>
        </is>
      </c>
    </row>
    <row r="27">
      <c r="A27" s="10" t="inlineStr">
        <is>
          <t>Civil</t>
        </is>
      </c>
      <c r="B27" s="10" t="inlineStr">
        <is>
          <t>Pe de cabra</t>
        </is>
      </c>
      <c r="C27" s="10" t="inlineStr">
        <is>
          <t>Contundentes</t>
        </is>
      </c>
      <c r="D27" s="11" t="n">
        <v>1</v>
      </c>
      <c r="E27" s="11" t="n">
        <v>8</v>
      </c>
      <c r="F27" s="11" t="n"/>
      <c r="G27" s="11" t="n"/>
      <c r="H27" s="12">
        <f>D27&amp;"d"&amp;E27&amp;IF(F27="",""," + "&amp;F27&amp;"d"&amp;G27)</f>
        <v/>
      </c>
      <c r="I27" s="10" t="inlineStr">
        <is>
          <t>Concussao</t>
        </is>
      </c>
      <c r="J27" s="10" t="inlineStr">
        <is>
          <t>Baixo</t>
        </is>
      </c>
      <c r="K27" s="11" t="n"/>
      <c r="L27" s="10" t="inlineStr">
        <is>
          <t>Utilitaria</t>
        </is>
      </c>
      <c r="M27" s="13" t="inlineStr">
        <is>
          <t>-</t>
        </is>
      </c>
      <c r="N27" s="14">
        <f>D27*(E27+1)/2+IF(F27="",0,F27*(G27+1)/2)</f>
        <v/>
      </c>
      <c r="O27" s="15">
        <f>MIN(0.95,MAX(0.05,(21-(Parametros!$B$6-(Parametros!$B$4-IF(M27="sim",Parametros!$B$8,0))))/20))</f>
        <v/>
      </c>
      <c r="P27" s="14">
        <f>O27*(N27+Parametros!$B$5)+0.05*N27</f>
        <v/>
      </c>
      <c r="Q27" s="11" t="n">
        <v>1</v>
      </c>
      <c r="R27" s="14">
        <f>P27*Q27</f>
        <v/>
      </c>
      <c r="S27" s="14">
        <f>IF(R27&lt;=0,"",Parametros!$B$7/R27)</f>
        <v/>
      </c>
      <c r="T27" s="13" t="inlineStr">
        <is>
          <t>Comum</t>
        </is>
      </c>
    </row>
    <row r="28">
      <c r="A28" s="10" t="inlineStr">
        <is>
          <t>Civil</t>
        </is>
      </c>
      <c r="B28" s="10" t="inlineStr">
        <is>
          <t>Foice de Ceifar</t>
        </is>
      </c>
      <c r="C28" s="10" t="inlineStr">
        <is>
          <t>Laminas Longas</t>
        </is>
      </c>
      <c r="D28" s="11" t="n">
        <v>1</v>
      </c>
      <c r="E28" s="11" t="n">
        <v>8</v>
      </c>
      <c r="F28" s="11" t="n"/>
      <c r="G28" s="11" t="n"/>
      <c r="H28" s="12">
        <f>D28&amp;"d"&amp;E28&amp;IF(F28="",""," + "&amp;F28&amp;"d"&amp;G28)</f>
        <v/>
      </c>
      <c r="I28" s="10" t="inlineStr">
        <is>
          <t>Cortante</t>
        </is>
      </c>
      <c r="J28" s="10" t="inlineStr">
        <is>
          <t>Silencioso</t>
        </is>
      </c>
      <c r="K28" s="11" t="n"/>
      <c r="L28" s="10" t="inlineStr">
        <is>
          <t>Duas maos, Lenta, Enganchar</t>
        </is>
      </c>
      <c r="M28" s="13" t="inlineStr">
        <is>
          <t>-</t>
        </is>
      </c>
      <c r="N28" s="14">
        <f>D28*(E28+1)/2+IF(F28="",0,F28*(G28+1)/2)</f>
        <v/>
      </c>
      <c r="O28" s="15">
        <f>MIN(0.95,MAX(0.05,(21-(Parametros!$B$6-(Parametros!$B$4-IF(M28="sim",Parametros!$B$8,0))))/20))</f>
        <v/>
      </c>
      <c r="P28" s="14">
        <f>O28*(N28+Parametros!$B$5)+0.05*N28</f>
        <v/>
      </c>
      <c r="Q28" s="11" t="n">
        <v>1</v>
      </c>
      <c r="R28" s="14">
        <f>P28*Q28</f>
        <v/>
      </c>
      <c r="S28" s="14">
        <f>IF(R28&lt;=0,"",Parametros!$B$7/R28)</f>
        <v/>
      </c>
      <c r="T28" s="13" t="inlineStr">
        <is>
          <t>Comum</t>
        </is>
      </c>
    </row>
    <row r="29">
      <c r="A29" s="10" t="inlineStr">
        <is>
          <t>Civil</t>
        </is>
      </c>
      <c r="B29" s="10" t="inlineStr">
        <is>
          <t>Forcado de Feno</t>
        </is>
      </c>
      <c r="C29" s="10" t="inlineStr">
        <is>
          <t>Hastes</t>
        </is>
      </c>
      <c r="D29" s="11" t="n">
        <v>1</v>
      </c>
      <c r="E29" s="11" t="n">
        <v>8</v>
      </c>
      <c r="F29" s="11" t="n"/>
      <c r="G29" s="11" t="n"/>
      <c r="H29" s="12">
        <f>D29&amp;"d"&amp;E29&amp;IF(F29="",""," + "&amp;F29&amp;"d"&amp;G29)</f>
        <v/>
      </c>
      <c r="I29" s="10" t="inlineStr">
        <is>
          <t>Perfurante</t>
        </is>
      </c>
      <c r="J29" s="10" t="inlineStr">
        <is>
          <t>Silencioso</t>
        </is>
      </c>
      <c r="K29" s="11" t="n"/>
      <c r="L29" s="10" t="inlineStr">
        <is>
          <t>Duas maos, Alcance 2 hex</t>
        </is>
      </c>
      <c r="M29" s="13" t="inlineStr">
        <is>
          <t>-</t>
        </is>
      </c>
      <c r="N29" s="14">
        <f>D29*(E29+1)/2+IF(F29="",0,F29*(G29+1)/2)</f>
        <v/>
      </c>
      <c r="O29" s="15">
        <f>MIN(0.95,MAX(0.05,(21-(Parametros!$B$6-(Parametros!$B$4-IF(M29="sim",Parametros!$B$8,0))))/20))</f>
        <v/>
      </c>
      <c r="P29" s="14">
        <f>O29*(N29+Parametros!$B$5)+0.05*N29</f>
        <v/>
      </c>
      <c r="Q29" s="11" t="n">
        <v>1</v>
      </c>
      <c r="R29" s="14">
        <f>P29*Q29</f>
        <v/>
      </c>
      <c r="S29" s="14">
        <f>IF(R29&lt;=0,"",Parametros!$B$7/R29)</f>
        <v/>
      </c>
      <c r="T29" s="13" t="inlineStr">
        <is>
          <t>Comum</t>
        </is>
      </c>
    </row>
    <row r="30">
      <c r="A30" s="10" t="inlineStr">
        <is>
          <t>Civil</t>
        </is>
      </c>
      <c r="B30" s="10" t="inlineStr">
        <is>
          <t>Machado de bombeiro</t>
        </is>
      </c>
      <c r="C30" s="10" t="inlineStr">
        <is>
          <t>Laminas Longas</t>
        </is>
      </c>
      <c r="D30" s="11" t="n">
        <v>1</v>
      </c>
      <c r="E30" s="11" t="n">
        <v>10</v>
      </c>
      <c r="F30" s="11" t="n"/>
      <c r="G30" s="11" t="n"/>
      <c r="H30" s="12">
        <f>D30&amp;"d"&amp;E30&amp;IF(F30="",""," + "&amp;F30&amp;"d"&amp;G30)</f>
        <v/>
      </c>
      <c r="I30" s="10" t="inlineStr">
        <is>
          <t>Cortante</t>
        </is>
      </c>
      <c r="J30" s="10" t="inlineStr">
        <is>
          <t>Baixo</t>
        </is>
      </c>
      <c r="K30" s="11" t="n">
        <v>13</v>
      </c>
      <c r="L30" s="10" t="inlineStr">
        <is>
          <t>Pesada, Duas maos</t>
        </is>
      </c>
      <c r="M30" s="13" t="inlineStr">
        <is>
          <t>-</t>
        </is>
      </c>
      <c r="N30" s="14">
        <f>D30*(E30+1)/2+IF(F30="",0,F30*(G30+1)/2)</f>
        <v/>
      </c>
      <c r="O30" s="15">
        <f>MIN(0.95,MAX(0.05,(21-(Parametros!$B$6-(Parametros!$B$4-IF(M30="sim",Parametros!$B$8,0))))/20))</f>
        <v/>
      </c>
      <c r="P30" s="14">
        <f>O30*(N30+Parametros!$B$5)+0.05*N30</f>
        <v/>
      </c>
      <c r="Q30" s="11" t="n">
        <v>1</v>
      </c>
      <c r="R30" s="14">
        <f>P30*Q30</f>
        <v/>
      </c>
      <c r="S30" s="14">
        <f>IF(R30&lt;=0,"",Parametros!$B$7/R30)</f>
        <v/>
      </c>
      <c r="T30" s="13" t="inlineStr">
        <is>
          <t>Comum</t>
        </is>
      </c>
    </row>
    <row r="31">
      <c r="A31" s="10" t="inlineStr">
        <is>
          <t>Civil</t>
        </is>
      </c>
      <c r="B31" s="10" t="inlineStr">
        <is>
          <t>Cilindro de Oxigenio</t>
        </is>
      </c>
      <c r="C31" s="10" t="inlineStr">
        <is>
          <t>Contundentes</t>
        </is>
      </c>
      <c r="D31" s="11" t="n">
        <v>1</v>
      </c>
      <c r="E31" s="11" t="n">
        <v>10</v>
      </c>
      <c r="F31" s="11" t="n"/>
      <c r="G31" s="11" t="n"/>
      <c r="H31" s="12">
        <f>D31&amp;"d"&amp;E31&amp;IF(F31="",""," + "&amp;F31&amp;"d"&amp;G31)</f>
        <v/>
      </c>
      <c r="I31" s="10" t="inlineStr">
        <is>
          <t>Concussao</t>
        </is>
      </c>
      <c r="J31" s="10" t="inlineStr">
        <is>
          <t>Baixo</t>
        </is>
      </c>
      <c r="K31" s="11" t="n">
        <v>14</v>
      </c>
      <c r="L31" s="10" t="inlineStr">
        <is>
          <t>Duas maos, Pesada, Lenta, Fragil (rompe: 2d6 em area)</t>
        </is>
      </c>
      <c r="M31" s="13" t="inlineStr">
        <is>
          <t>-</t>
        </is>
      </c>
      <c r="N31" s="14">
        <f>D31*(E31+1)/2+IF(F31="",0,F31*(G31+1)/2)</f>
        <v/>
      </c>
      <c r="O31" s="15">
        <f>MIN(0.95,MAX(0.05,(21-(Parametros!$B$6-(Parametros!$B$4-IF(M31="sim",Parametros!$B$8,0))))/20))</f>
        <v/>
      </c>
      <c r="P31" s="14">
        <f>O31*(N31+Parametros!$B$5)+0.05*N31</f>
        <v/>
      </c>
      <c r="Q31" s="11" t="n">
        <v>1</v>
      </c>
      <c r="R31" s="14">
        <f>P31*Q31</f>
        <v/>
      </c>
      <c r="S31" s="14">
        <f>IF(R31&lt;=0,"",Parametros!$B$7/R31)</f>
        <v/>
      </c>
      <c r="T31" s="13" t="inlineStr">
        <is>
          <t>Comum</t>
        </is>
      </c>
    </row>
    <row r="32">
      <c r="A32" s="10" t="inlineStr">
        <is>
          <t>Civil</t>
        </is>
      </c>
      <c r="B32" s="10" t="inlineStr">
        <is>
          <t>Rebarbadora</t>
        </is>
      </c>
      <c r="C32" s="10" t="inlineStr">
        <is>
          <t>Dispositivos</t>
        </is>
      </c>
      <c r="D32" s="11" t="n">
        <v>1</v>
      </c>
      <c r="E32" s="11" t="n">
        <v>10</v>
      </c>
      <c r="F32" s="11" t="n"/>
      <c r="G32" s="11" t="n"/>
      <c r="H32" s="12">
        <f>D32&amp;"d"&amp;E32&amp;IF(F32="",""," + "&amp;F32&amp;"d"&amp;G32)</f>
        <v/>
      </c>
      <c r="I32" s="10" t="inlineStr">
        <is>
          <t>Cortante</t>
        </is>
      </c>
      <c r="J32" s="10" t="inlineStr">
        <is>
          <t>ALTO (motor)</t>
        </is>
      </c>
      <c r="K32" s="11" t="n">
        <v>12</v>
      </c>
      <c r="L32" s="10" t="inlineStr">
        <is>
          <t>Duas maos, Pesada, Lenta, Utilitaria, Carga (4)</t>
        </is>
      </c>
      <c r="M32" s="13" t="inlineStr">
        <is>
          <t>-</t>
        </is>
      </c>
      <c r="N32" s="14">
        <f>D32*(E32+1)/2+IF(F32="",0,F32*(G32+1)/2)</f>
        <v/>
      </c>
      <c r="O32" s="15">
        <f>MIN(0.95,MAX(0.05,(21-(Parametros!$B$6-(Parametros!$B$4-IF(M32="sim",Parametros!$B$8,0))))/20))</f>
        <v/>
      </c>
      <c r="P32" s="14">
        <f>O32*(N32+Parametros!$B$5)+0.05*N32</f>
        <v/>
      </c>
      <c r="Q32" s="11" t="n">
        <v>1</v>
      </c>
      <c r="R32" s="14">
        <f>P32*Q32</f>
        <v/>
      </c>
      <c r="S32" s="14">
        <f>IF(R32&lt;=0,"",Parametros!$B$7/R32)</f>
        <v/>
      </c>
      <c r="T32" s="13" t="inlineStr">
        <is>
          <t>Comum</t>
        </is>
      </c>
    </row>
    <row r="33">
      <c r="A33" s="10" t="inlineStr">
        <is>
          <t>Civil</t>
        </is>
      </c>
      <c r="B33" s="10" t="inlineStr">
        <is>
          <t>Marreta</t>
        </is>
      </c>
      <c r="C33" s="10" t="inlineStr">
        <is>
          <t>Contundentes</t>
        </is>
      </c>
      <c r="D33" s="11" t="n">
        <v>1</v>
      </c>
      <c r="E33" s="11" t="n">
        <v>12</v>
      </c>
      <c r="F33" s="11" t="n"/>
      <c r="G33" s="11" t="n"/>
      <c r="H33" s="12">
        <f>D33&amp;"d"&amp;E33&amp;IF(F33="",""," + "&amp;F33&amp;"d"&amp;G33)</f>
        <v/>
      </c>
      <c r="I33" s="10" t="inlineStr">
        <is>
          <t>Concussao</t>
        </is>
      </c>
      <c r="J33" s="10" t="inlineStr">
        <is>
          <t>Baixo</t>
        </is>
      </c>
      <c r="K33" s="11" t="n">
        <v>15</v>
      </c>
      <c r="L33" s="10" t="inlineStr">
        <is>
          <t>Pesada, Duas maos, Lenta</t>
        </is>
      </c>
      <c r="M33" s="13" t="inlineStr">
        <is>
          <t>-</t>
        </is>
      </c>
      <c r="N33" s="14">
        <f>D33*(E33+1)/2+IF(F33="",0,F33*(G33+1)/2)</f>
        <v/>
      </c>
      <c r="O33" s="15">
        <f>MIN(0.95,MAX(0.05,(21-(Parametros!$B$6-(Parametros!$B$4-IF(M33="sim",Parametros!$B$8,0))))/20))</f>
        <v/>
      </c>
      <c r="P33" s="14">
        <f>O33*(N33+Parametros!$B$5)+0.05*N33</f>
        <v/>
      </c>
      <c r="Q33" s="11" t="n">
        <v>1</v>
      </c>
      <c r="R33" s="14">
        <f>P33*Q33</f>
        <v/>
      </c>
      <c r="S33" s="14">
        <f>IF(R33&lt;=0,"",Parametros!$B$7/R33)</f>
        <v/>
      </c>
      <c r="T33" s="13" t="inlineStr">
        <is>
          <t>Comum</t>
        </is>
      </c>
    </row>
    <row r="34">
      <c r="A34" s="8" t="inlineStr">
        <is>
          <t>TIER MODIFICADA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>
      <c r="A35" s="10" t="inlineStr">
        <is>
          <t>Modificada</t>
        </is>
      </c>
      <c r="B35" s="10" t="inlineStr">
        <is>
          <t>Cano c/ Arame Farpado</t>
        </is>
      </c>
      <c r="C35" s="10" t="inlineStr">
        <is>
          <t>Contundentes</t>
        </is>
      </c>
      <c r="D35" s="11" t="n">
        <v>1</v>
      </c>
      <c r="E35" s="11" t="n">
        <v>8</v>
      </c>
      <c r="F35" s="11" t="n"/>
      <c r="G35" s="11" t="n"/>
      <c r="H35" s="12">
        <f>D35&amp;"d"&amp;E35&amp;IF(F35="",""," + "&amp;F35&amp;"d"&amp;G35)</f>
        <v/>
      </c>
      <c r="I35" s="10" t="inlineStr">
        <is>
          <t>Concussao</t>
        </is>
      </c>
      <c r="J35" s="10" t="inlineStr">
        <is>
          <t>Baixo</t>
        </is>
      </c>
      <c r="K35" s="11" t="n"/>
      <c r="L35" s="10" t="inlineStr">
        <is>
          <t>Improvisada (cano 1d4 + Arame Farpado, porte Estrutural)</t>
        </is>
      </c>
      <c r="M35" s="16" t="inlineStr">
        <is>
          <t>sim</t>
        </is>
      </c>
      <c r="N35" s="14">
        <f>D35*(E35+1)/2+IF(F35="",0,F35*(G35+1)/2)</f>
        <v/>
      </c>
      <c r="O35" s="15">
        <f>MIN(0.95,MAX(0.05,(21-(Parametros!$B$6-(Parametros!$B$4-IF(M35="sim",Parametros!$B$8,0))))/20))</f>
        <v/>
      </c>
      <c r="P35" s="14">
        <f>O35*(N35+Parametros!$B$5)+0.05*N35</f>
        <v/>
      </c>
      <c r="Q35" s="11" t="n">
        <v>1</v>
      </c>
      <c r="R35" s="14">
        <f>P35*Q35</f>
        <v/>
      </c>
      <c r="S35" s="14">
        <f>IF(R35&lt;=0,"",Parametros!$B$7/R35)</f>
        <v/>
      </c>
      <c r="T35" s="13" t="inlineStr">
        <is>
          <t>fabricada</t>
        </is>
      </c>
    </row>
    <row r="36">
      <c r="A36" s="10" t="inlineStr">
        <is>
          <t>Modificada</t>
        </is>
      </c>
      <c r="B36" s="10" t="inlineStr">
        <is>
          <t>Taco c/ Pregos</t>
        </is>
      </c>
      <c r="C36" s="10" t="inlineStr">
        <is>
          <t>Contundentes</t>
        </is>
      </c>
      <c r="D36" s="11" t="n">
        <v>1</v>
      </c>
      <c r="E36" s="11" t="n">
        <v>10</v>
      </c>
      <c r="F36" s="11" t="n"/>
      <c r="G36" s="11" t="n"/>
      <c r="H36" s="12">
        <f>D36&amp;"d"&amp;E36&amp;IF(F36="",""," + "&amp;F36&amp;"d"&amp;G36)</f>
        <v/>
      </c>
      <c r="I36" s="10" t="inlineStr">
        <is>
          <t>Concussao</t>
        </is>
      </c>
      <c r="J36" s="10" t="inlineStr">
        <is>
          <t>Baixo</t>
        </is>
      </c>
      <c r="K36" s="11" t="n"/>
      <c r="L36" s="10" t="inlineStr">
        <is>
          <t>Flexivel (2 maos: 1d12); taco 1d8 + Pregos (Simples)</t>
        </is>
      </c>
      <c r="M36" s="13" t="inlineStr">
        <is>
          <t>-</t>
        </is>
      </c>
      <c r="N36" s="14">
        <f>D36*(E36+1)/2+IF(F36="",0,F36*(G36+1)/2)</f>
        <v/>
      </c>
      <c r="O36" s="15">
        <f>MIN(0.95,MAX(0.05,(21-(Parametros!$B$6-(Parametros!$B$4-IF(M36="sim",Parametros!$B$8,0))))/20))</f>
        <v/>
      </c>
      <c r="P36" s="14">
        <f>O36*(N36+Parametros!$B$5)+0.05*N36</f>
        <v/>
      </c>
      <c r="Q36" s="11" t="n">
        <v>1</v>
      </c>
      <c r="R36" s="14">
        <f>P36*Q36</f>
        <v/>
      </c>
      <c r="S36" s="14">
        <f>IF(R36&lt;=0,"",Parametros!$B$7/R36)</f>
        <v/>
      </c>
      <c r="T36" s="13" t="inlineStr">
        <is>
          <t>fabricada</t>
        </is>
      </c>
    </row>
    <row r="37">
      <c r="A37" s="10" t="inlineStr">
        <is>
          <t>Modificada</t>
        </is>
      </c>
      <c r="B37" s="10" t="inlineStr">
        <is>
          <t>Soqueira de Eletrodos</t>
        </is>
      </c>
      <c r="C37" s="10" t="inlineStr">
        <is>
          <t>Desarmado</t>
        </is>
      </c>
      <c r="D37" s="11" t="n">
        <v>2</v>
      </c>
      <c r="E37" s="11" t="n">
        <v>4</v>
      </c>
      <c r="F37" s="11" t="n">
        <v>1</v>
      </c>
      <c r="G37" s="11" t="n">
        <v>4</v>
      </c>
      <c r="H37" s="12">
        <f>D37&amp;"d"&amp;E37&amp;IF(F37="",""," + "&amp;F37&amp;"d"&amp;G37)</f>
        <v/>
      </c>
      <c r="I37" s="10" t="inlineStr">
        <is>
          <t>Concussao + Eletrico</t>
        </is>
      </c>
      <c r="J37" s="10" t="inlineStr">
        <is>
          <t>Baixo</t>
        </is>
      </c>
      <c r="K37" s="11" t="n"/>
      <c r="L37" s="10" t="inlineStr">
        <is>
          <t>Soqueira + Eletrodos (Simples); Carga da Celula</t>
        </is>
      </c>
      <c r="M37" s="13" t="inlineStr">
        <is>
          <t>-</t>
        </is>
      </c>
      <c r="N37" s="14">
        <f>D37*(E37+1)/2+IF(F37="",0,F37*(G37+1)/2)</f>
        <v/>
      </c>
      <c r="O37" s="15">
        <f>MIN(0.95,MAX(0.05,(21-(Parametros!$B$6-(Parametros!$B$4-IF(M37="sim",Parametros!$B$8,0))))/20))</f>
        <v/>
      </c>
      <c r="P37" s="14">
        <f>O37*(N37+Parametros!$B$5)+0.05*N37</f>
        <v/>
      </c>
      <c r="Q37" s="11" t="n">
        <v>1</v>
      </c>
      <c r="R37" s="14">
        <f>P37*Q37</f>
        <v/>
      </c>
      <c r="S37" s="14">
        <f>IF(R37&lt;=0,"",Parametros!$B$7/R37)</f>
        <v/>
      </c>
      <c r="T37" s="13" t="inlineStr">
        <is>
          <t>fabricada</t>
        </is>
      </c>
    </row>
    <row r="38">
      <c r="A38" s="8" t="inlineStr">
        <is>
          <t>TIER MILITAR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>
      <c r="A39" s="10" t="inlineStr">
        <is>
          <t>Militar</t>
        </is>
      </c>
      <c r="B39" s="10" t="inlineStr">
        <is>
          <t>Katana</t>
        </is>
      </c>
      <c r="C39" s="10" t="inlineStr">
        <is>
          <t>Laminas Longas</t>
        </is>
      </c>
      <c r="D39" s="11" t="n">
        <v>1</v>
      </c>
      <c r="E39" s="11" t="n">
        <v>8</v>
      </c>
      <c r="F39" s="11" t="n"/>
      <c r="G39" s="11" t="n"/>
      <c r="H39" s="12">
        <f>D39&amp;"d"&amp;E39&amp;IF(F39="",""," + "&amp;F39&amp;"d"&amp;G39)</f>
        <v/>
      </c>
      <c r="I39" s="10" t="inlineStr">
        <is>
          <t>Cortante</t>
        </is>
      </c>
      <c r="J39" s="10" t="inlineStr">
        <is>
          <t>Silencioso</t>
        </is>
      </c>
      <c r="K39" s="11" t="n"/>
      <c r="L39" s="10" t="inlineStr">
        <is>
          <t>Agil, Flexivel (2 maos: 1d10)</t>
        </is>
      </c>
      <c r="M39" s="13" t="inlineStr">
        <is>
          <t>-</t>
        </is>
      </c>
      <c r="N39" s="14">
        <f>D39*(E39+1)/2+IF(F39="",0,F39*(G39+1)/2)</f>
        <v/>
      </c>
      <c r="O39" s="15">
        <f>MIN(0.95,MAX(0.05,(21-(Parametros!$B$6-(Parametros!$B$4-IF(M39="sim",Parametros!$B$8,0))))/20))</f>
        <v/>
      </c>
      <c r="P39" s="14">
        <f>O39*(N39+Parametros!$B$5)+0.05*N39</f>
        <v/>
      </c>
      <c r="Q39" s="11" t="n">
        <v>1</v>
      </c>
      <c r="R39" s="14">
        <f>P39*Q39</f>
        <v/>
      </c>
      <c r="S39" s="14">
        <f>IF(R39&lt;=0,"",Parametros!$B$7/R39)</f>
        <v/>
      </c>
      <c r="T39" s="13" t="inlineStr">
        <is>
          <t>Raro</t>
        </is>
      </c>
    </row>
    <row r="40">
      <c r="A40" s="10" t="inlineStr">
        <is>
          <t>Militar</t>
        </is>
      </c>
      <c r="B40" s="10" t="inlineStr">
        <is>
          <t>Baioneta-Adaptador M7</t>
        </is>
      </c>
      <c r="C40" s="10" t="inlineStr">
        <is>
          <t>Laminas Curtas</t>
        </is>
      </c>
      <c r="D40" s="11" t="n">
        <v>1</v>
      </c>
      <c r="E40" s="11" t="n">
        <v>8</v>
      </c>
      <c r="F40" s="11" t="n"/>
      <c r="G40" s="11" t="n"/>
      <c r="H40" s="12">
        <f>D40&amp;"d"&amp;E40&amp;IF(F40="",""," + "&amp;F40&amp;"d"&amp;G40)</f>
        <v/>
      </c>
      <c r="I40" s="10" t="inlineStr">
        <is>
          <t>Perfurante</t>
        </is>
      </c>
      <c r="J40" s="10" t="inlineStr">
        <is>
          <t>Silencioso</t>
        </is>
      </c>
      <c r="K40" s="11" t="n"/>
      <c r="L40" s="10" t="inlineStr">
        <is>
          <t>Agil, Leve, Acoplada (disputa o slot com o silenciador)</t>
        </is>
      </c>
      <c r="M40" s="13" t="inlineStr">
        <is>
          <t>-</t>
        </is>
      </c>
      <c r="N40" s="14">
        <f>D40*(E40+1)/2+IF(F40="",0,F40*(G40+1)/2)</f>
        <v/>
      </c>
      <c r="O40" s="15">
        <f>MIN(0.95,MAX(0.05,(21-(Parametros!$B$6-(Parametros!$B$4-IF(M40="sim",Parametros!$B$8,0))))/20))</f>
        <v/>
      </c>
      <c r="P40" s="14">
        <f>O40*(N40+Parametros!$B$5)+0.05*N40</f>
        <v/>
      </c>
      <c r="Q40" s="11" t="n">
        <v>1</v>
      </c>
      <c r="R40" s="14">
        <f>P40*Q40</f>
        <v/>
      </c>
      <c r="S40" s="14">
        <f>IF(R40&lt;=0,"",Parametros!$B$7/R40)</f>
        <v/>
      </c>
      <c r="T40" s="13" t="inlineStr">
        <is>
          <t>Incomum</t>
        </is>
      </c>
    </row>
    <row r="41">
      <c r="A41" s="10" t="inlineStr">
        <is>
          <t>Militar</t>
        </is>
      </c>
      <c r="B41" s="10" t="inlineStr">
        <is>
          <t>Pa de Sapador</t>
        </is>
      </c>
      <c r="C41" s="10" t="inlineStr">
        <is>
          <t>Laminas Longas</t>
        </is>
      </c>
      <c r="D41" s="11" t="n">
        <v>1</v>
      </c>
      <c r="E41" s="11" t="n">
        <v>10</v>
      </c>
      <c r="F41" s="11" t="n"/>
      <c r="G41" s="11" t="n"/>
      <c r="H41" s="12">
        <f>D41&amp;"d"&amp;E41&amp;IF(F41="",""," + "&amp;F41&amp;"d"&amp;G41)</f>
        <v/>
      </c>
      <c r="I41" s="10" t="inlineStr">
        <is>
          <t>Cortante ou Concussao</t>
        </is>
      </c>
      <c r="J41" s="10" t="inlineStr">
        <is>
          <t>conforme tipo</t>
        </is>
      </c>
      <c r="K41" s="11" t="n"/>
      <c r="L41" s="10" t="inlineStr">
        <is>
          <t>Duas maos, Utilitaria, Dupla Face</t>
        </is>
      </c>
      <c r="M41" s="13" t="inlineStr">
        <is>
          <t>-</t>
        </is>
      </c>
      <c r="N41" s="14">
        <f>D41*(E41+1)/2+IF(F41="",0,F41*(G41+1)/2)</f>
        <v/>
      </c>
      <c r="O41" s="15">
        <f>MIN(0.95,MAX(0.05,(21-(Parametros!$B$6-(Parametros!$B$4-IF(M41="sim",Parametros!$B$8,0))))/20))</f>
        <v/>
      </c>
      <c r="P41" s="14">
        <f>O41*(N41+Parametros!$B$5)+0.05*N41</f>
        <v/>
      </c>
      <c r="Q41" s="11" t="n">
        <v>1</v>
      </c>
      <c r="R41" s="14">
        <f>P41*Q41</f>
        <v/>
      </c>
      <c r="S41" s="14">
        <f>IF(R41&lt;=0,"",Parametros!$B$7/R41)</f>
        <v/>
      </c>
      <c r="T41" s="13" t="inlineStr">
        <is>
          <t>Incomum</t>
        </is>
      </c>
    </row>
    <row r="42">
      <c r="A42" s="10" t="inlineStr">
        <is>
          <t>Militar</t>
        </is>
      </c>
      <c r="B42" s="10" t="inlineStr">
        <is>
          <t>Machado 'Corta-Anteparo'</t>
        </is>
      </c>
      <c r="C42" s="10" t="inlineStr">
        <is>
          <t>Laminas Longas</t>
        </is>
      </c>
      <c r="D42" s="11" t="n">
        <v>1</v>
      </c>
      <c r="E42" s="11" t="n">
        <v>8</v>
      </c>
      <c r="F42" s="11" t="n"/>
      <c r="G42" s="11" t="n"/>
      <c r="H42" s="12">
        <f>D42&amp;"d"&amp;E42&amp;IF(F42="",""," + "&amp;F42&amp;"d"&amp;G42)</f>
        <v/>
      </c>
      <c r="I42" s="10" t="inlineStr">
        <is>
          <t>Cortante</t>
        </is>
      </c>
      <c r="J42" s="10" t="inlineStr">
        <is>
          <t>Silencioso</t>
        </is>
      </c>
      <c r="K42" s="11" t="n"/>
      <c r="L42" s="10" t="inlineStr">
        <is>
          <t>Flexivel (2 maos: 1d10), Utilitaria, Transfixante (2)</t>
        </is>
      </c>
      <c r="M42" s="13" t="inlineStr">
        <is>
          <t>-</t>
        </is>
      </c>
      <c r="N42" s="14">
        <f>D42*(E42+1)/2+IF(F42="",0,F42*(G42+1)/2)</f>
        <v/>
      </c>
      <c r="O42" s="15">
        <f>MIN(0.95,MAX(0.05,(21-(Parametros!$B$6-(Parametros!$B$4-IF(M42="sim",Parametros!$B$8,0))))/20))</f>
        <v/>
      </c>
      <c r="P42" s="14">
        <f>O42*(N42+Parametros!$B$5)+0.05*N42</f>
        <v/>
      </c>
      <c r="Q42" s="11" t="n">
        <v>1</v>
      </c>
      <c r="R42" s="14">
        <f>P42*Q42</f>
        <v/>
      </c>
      <c r="S42" s="14">
        <f>IF(R42&lt;=0,"",Parametros!$B$7/R42)</f>
        <v/>
      </c>
      <c r="T42" s="13" t="inlineStr">
        <is>
          <t>Incomum</t>
        </is>
      </c>
    </row>
    <row r="43">
      <c r="A43" s="10" t="inlineStr">
        <is>
          <t>Militar</t>
        </is>
      </c>
      <c r="B43" s="10" t="inlineStr">
        <is>
          <t>Piqueta de Cerco M-3</t>
        </is>
      </c>
      <c r="C43" s="10" t="inlineStr">
        <is>
          <t>Hastes</t>
        </is>
      </c>
      <c r="D43" s="11" t="n">
        <v>1</v>
      </c>
      <c r="E43" s="11" t="n">
        <v>8</v>
      </c>
      <c r="F43" s="11" t="n"/>
      <c r="G43" s="11" t="n"/>
      <c r="H43" s="12">
        <f>D43&amp;"d"&amp;E43&amp;IF(F43="",""," + "&amp;F43&amp;"d"&amp;G43)</f>
        <v/>
      </c>
      <c r="I43" s="10" t="inlineStr">
        <is>
          <t>Perfurante</t>
        </is>
      </c>
      <c r="J43" s="10" t="inlineStr">
        <is>
          <t>Silencioso</t>
        </is>
      </c>
      <c r="K43" s="11" t="n"/>
      <c r="L43" s="10" t="inlineStr">
        <is>
          <t>Duas maos, Alcance 2 hex, Lenta, Estacar</t>
        </is>
      </c>
      <c r="M43" s="13" t="inlineStr">
        <is>
          <t>-</t>
        </is>
      </c>
      <c r="N43" s="14">
        <f>D43*(E43+1)/2+IF(F43="",0,F43*(G43+1)/2)</f>
        <v/>
      </c>
      <c r="O43" s="15">
        <f>MIN(0.95,MAX(0.05,(21-(Parametros!$B$6-(Parametros!$B$4-IF(M43="sim",Parametros!$B$8,0))))/20))</f>
        <v/>
      </c>
      <c r="P43" s="14">
        <f>O43*(N43+Parametros!$B$5)+0.05*N43</f>
        <v/>
      </c>
      <c r="Q43" s="11" t="n">
        <v>1</v>
      </c>
      <c r="R43" s="14">
        <f>P43*Q43</f>
        <v/>
      </c>
      <c r="S43" s="14">
        <f>IF(R43&lt;=0,"",Parametros!$B$7/R43)</f>
        <v/>
      </c>
      <c r="T43" s="13" t="inlineStr">
        <is>
          <t>Incomum</t>
        </is>
      </c>
    </row>
    <row r="44">
      <c r="A44" s="10" t="inlineStr">
        <is>
          <t>Militar</t>
        </is>
      </c>
      <c r="B44" s="10" t="inlineStr">
        <is>
          <t>Tonfa de Choque Antimotim</t>
        </is>
      </c>
      <c r="C44" s="10" t="inlineStr">
        <is>
          <t>Contundentes</t>
        </is>
      </c>
      <c r="D44" s="11" t="n">
        <v>1</v>
      </c>
      <c r="E44" s="11" t="n">
        <v>6</v>
      </c>
      <c r="F44" s="11" t="n"/>
      <c r="G44" s="11" t="n"/>
      <c r="H44" s="12">
        <f>D44&amp;"d"&amp;E44&amp;IF(F44="",""," + "&amp;F44&amp;"d"&amp;G44)</f>
        <v/>
      </c>
      <c r="I44" s="10" t="inlineStr">
        <is>
          <t>Concussao</t>
        </is>
      </c>
      <c r="J44" s="10" t="inlineStr">
        <is>
          <t>Baixo</t>
        </is>
      </c>
      <c r="K44" s="11" t="n"/>
      <c r="L44" s="10" t="inlineStr">
        <is>
          <t>Agil, Carga (4): alvo perde Reacao, cibernetica falha 1 rodada</t>
        </is>
      </c>
      <c r="M44" s="13" t="inlineStr">
        <is>
          <t>-</t>
        </is>
      </c>
      <c r="N44" s="14">
        <f>D44*(E44+1)/2+IF(F44="",0,F44*(G44+1)/2)</f>
        <v/>
      </c>
      <c r="O44" s="15">
        <f>MIN(0.95,MAX(0.05,(21-(Parametros!$B$6-(Parametros!$B$4-IF(M44="sim",Parametros!$B$8,0))))/20))</f>
        <v/>
      </c>
      <c r="P44" s="14">
        <f>O44*(N44+Parametros!$B$5)+0.05*N44</f>
        <v/>
      </c>
      <c r="Q44" s="11" t="n">
        <v>1</v>
      </c>
      <c r="R44" s="14">
        <f>P44*Q44</f>
        <v/>
      </c>
      <c r="S44" s="14">
        <f>IF(R44&lt;=0,"",Parametros!$B$7/R44)</f>
        <v/>
      </c>
      <c r="T44" s="13" t="inlineStr">
        <is>
          <t>Incomum</t>
        </is>
      </c>
    </row>
    <row r="45">
      <c r="A45" s="10" t="inlineStr">
        <is>
          <t>Militar</t>
        </is>
      </c>
      <c r="B45" s="10" t="inlineStr">
        <is>
          <t>Escudo Antimotim Eletrificado</t>
        </is>
      </c>
      <c r="C45" s="10" t="inlineStr">
        <is>
          <t>Contundentes</t>
        </is>
      </c>
      <c r="D45" s="11" t="n">
        <v>1</v>
      </c>
      <c r="E45" s="11" t="n">
        <v>6</v>
      </c>
      <c r="F45" s="11" t="n"/>
      <c r="G45" s="11" t="n"/>
      <c r="H45" s="12">
        <f>D45&amp;"d"&amp;E45&amp;IF(F45="",""," + "&amp;F45&amp;"d"&amp;G45)</f>
        <v/>
      </c>
      <c r="I45" s="10" t="inlineStr">
        <is>
          <t>Concussao</t>
        </is>
      </c>
      <c r="J45" s="10" t="inlineStr">
        <is>
          <t>Baixo</t>
        </is>
      </c>
      <c r="K45" s="11" t="n">
        <v>13</v>
      </c>
      <c r="L45" s="10" t="inlineStr">
        <is>
          <t>Pesada, Lenta; empurra 1 hex; cobertura parcial</t>
        </is>
      </c>
      <c r="M45" s="13" t="inlineStr">
        <is>
          <t>-</t>
        </is>
      </c>
      <c r="N45" s="14">
        <f>D45*(E45+1)/2+IF(F45="",0,F45*(G45+1)/2)</f>
        <v/>
      </c>
      <c r="O45" s="15">
        <f>MIN(0.95,MAX(0.05,(21-(Parametros!$B$6-(Parametros!$B$4-IF(M45="sim",Parametros!$B$8,0))))/20))</f>
        <v/>
      </c>
      <c r="P45" s="14">
        <f>O45*(N45+Parametros!$B$5)+0.05*N45</f>
        <v/>
      </c>
      <c r="Q45" s="11" t="n">
        <v>1</v>
      </c>
      <c r="R45" s="14">
        <f>P45*Q45</f>
        <v/>
      </c>
      <c r="S45" s="14">
        <f>IF(R45&lt;=0,"",Parametros!$B$7/R45)</f>
        <v/>
      </c>
      <c r="T45" s="13" t="inlineStr">
        <is>
          <t>Incomum</t>
        </is>
      </c>
    </row>
    <row r="46">
      <c r="A46" s="10" t="inlineStr">
        <is>
          <t>Militar</t>
        </is>
      </c>
      <c r="B46" s="10" t="inlineStr">
        <is>
          <t>Cambao de Contencao</t>
        </is>
      </c>
      <c r="C46" s="10" t="inlineStr">
        <is>
          <t>Hastes</t>
        </is>
      </c>
      <c r="D46" s="11" t="n">
        <v>1</v>
      </c>
      <c r="E46" s="11" t="n">
        <v>4</v>
      </c>
      <c r="F46" s="11" t="n"/>
      <c r="G46" s="11" t="n"/>
      <c r="H46" s="12">
        <f>D46&amp;"d"&amp;E46&amp;IF(F46="",""," + "&amp;F46&amp;"d"&amp;G46)</f>
        <v/>
      </c>
      <c r="I46" s="10" t="inlineStr">
        <is>
          <t>Concussao</t>
        </is>
      </c>
      <c r="J46" s="10" t="inlineStr">
        <is>
          <t>Baixo</t>
        </is>
      </c>
      <c r="K46" s="11" t="n"/>
      <c r="L46" s="10" t="inlineStr">
        <is>
          <t>Duas maos, Alcance 2 hex, Enganchar (imobiliza sem dano)</t>
        </is>
      </c>
      <c r="M46" s="13" t="inlineStr">
        <is>
          <t>-</t>
        </is>
      </c>
      <c r="N46" s="14">
        <f>D46*(E46+1)/2+IF(F46="",0,F46*(G46+1)/2)</f>
        <v/>
      </c>
      <c r="O46" s="15">
        <f>MIN(0.95,MAX(0.05,(21-(Parametros!$B$6-(Parametros!$B$4-IF(M46="sim",Parametros!$B$8,0))))/20))</f>
        <v/>
      </c>
      <c r="P46" s="14">
        <f>O46*(N46+Parametros!$B$5)+0.05*N46</f>
        <v/>
      </c>
      <c r="Q46" s="11" t="n">
        <v>1</v>
      </c>
      <c r="R46" s="14">
        <f>P46*Q46</f>
        <v/>
      </c>
      <c r="S46" s="14">
        <f>IF(R46&lt;=0,"",Parametros!$B$7/R46)</f>
        <v/>
      </c>
      <c r="T46" s="13" t="inlineStr">
        <is>
          <t>Incomum</t>
        </is>
      </c>
    </row>
    <row r="47">
      <c r="A47" s="10" t="inlineStr">
        <is>
          <t>Militar</t>
        </is>
      </c>
      <c r="B47" s="10" t="inlineStr">
        <is>
          <t>Pistola de Pinos de Sapador</t>
        </is>
      </c>
      <c r="C47" s="10" t="inlineStr">
        <is>
          <t>Dispositivos</t>
        </is>
      </c>
      <c r="D47" s="11" t="n">
        <v>1</v>
      </c>
      <c r="E47" s="11" t="n">
        <v>8</v>
      </c>
      <c r="F47" s="11" t="n"/>
      <c r="G47" s="11" t="n"/>
      <c r="H47" s="12">
        <f>D47&amp;"d"&amp;E47&amp;IF(F47="",""," + "&amp;F47&amp;"d"&amp;G47)</f>
        <v/>
      </c>
      <c r="I47" s="10" t="inlineStr">
        <is>
          <t>Perfurante</t>
        </is>
      </c>
      <c r="J47" s="10" t="inlineStr">
        <is>
          <t>ALTO (pirotecnica)</t>
        </is>
      </c>
      <c r="K47" s="11" t="n"/>
      <c r="L47" s="10" t="inlineStr">
        <is>
          <t>Alcance 2 hex, Recarga, Enganchar (prega na superficie)</t>
        </is>
      </c>
      <c r="M47" s="13" t="inlineStr">
        <is>
          <t>-</t>
        </is>
      </c>
      <c r="N47" s="14">
        <f>D47*(E47+1)/2+IF(F47="",0,F47*(G47+1)/2)</f>
        <v/>
      </c>
      <c r="O47" s="15">
        <f>MIN(0.95,MAX(0.05,(21-(Parametros!$B$6-(Parametros!$B$4-IF(M47="sim",Parametros!$B$8,0))))/20))</f>
        <v/>
      </c>
      <c r="P47" s="14">
        <f>O47*(N47+Parametros!$B$5)+0.05*N47</f>
        <v/>
      </c>
      <c r="Q47" s="11" t="n">
        <v>1</v>
      </c>
      <c r="R47" s="14">
        <f>P47*Q47</f>
        <v/>
      </c>
      <c r="S47" s="14">
        <f>IF(R47&lt;=0,"",Parametros!$B$7/R47)</f>
        <v/>
      </c>
      <c r="T47" s="13" t="inlineStr">
        <is>
          <t>Incomum</t>
        </is>
      </c>
    </row>
    <row r="48">
      <c r="A48" s="10" t="inlineStr">
        <is>
          <t>Militar</t>
        </is>
      </c>
      <c r="B48" s="10" t="inlineStr">
        <is>
          <t>Granada de Atordoamento</t>
        </is>
      </c>
      <c r="C48" s="10" t="inlineStr">
        <is>
          <t>Dispositivos</t>
        </is>
      </c>
      <c r="D48" s="11" t="n">
        <v>1</v>
      </c>
      <c r="E48" s="11" t="n">
        <v>4</v>
      </c>
      <c r="F48" s="11" t="n"/>
      <c r="G48" s="11" t="n"/>
      <c r="H48" s="12">
        <f>D48&amp;"d"&amp;E48&amp;IF(F48="",""," + "&amp;F48&amp;"d"&amp;G48)</f>
        <v/>
      </c>
      <c r="I48" s="10" t="inlineStr">
        <is>
          <t>Concussao</t>
        </is>
      </c>
      <c r="J48" s="10" t="inlineStr">
        <is>
          <t>ALTO (pirotecnica)</t>
        </is>
      </c>
      <c r="K48" s="11" t="n"/>
      <c r="L48" s="10" t="inlineStr">
        <is>
          <t>Arremessavel (4/8), Consumivel; cega e ensurdece area</t>
        </is>
      </c>
      <c r="M48" s="13" t="inlineStr">
        <is>
          <t>-</t>
        </is>
      </c>
      <c r="N48" s="14">
        <f>D48*(E48+1)/2+IF(F48="",0,F48*(G48+1)/2)</f>
        <v/>
      </c>
      <c r="O48" s="15">
        <f>MIN(0.95,MAX(0.05,(21-(Parametros!$B$6-(Parametros!$B$4-IF(M48="sim",Parametros!$B$8,0))))/20))</f>
        <v/>
      </c>
      <c r="P48" s="14">
        <f>O48*(N48+Parametros!$B$5)+0.05*N48</f>
        <v/>
      </c>
      <c r="Q48" s="11" t="n">
        <v>1</v>
      </c>
      <c r="R48" s="14">
        <f>P48*Q48</f>
        <v/>
      </c>
      <c r="S48" s="14">
        <f>IF(R48&lt;=0,"",Parametros!$B$7/R48)</f>
        <v/>
      </c>
      <c r="T48" s="13" t="inlineStr">
        <is>
          <t>Incomum</t>
        </is>
      </c>
    </row>
    <row r="49">
      <c r="A49" s="8" t="inlineStr">
        <is>
          <t>TIER CORPORATIVA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</row>
    <row r="50">
      <c r="A50" s="10" t="inlineStr">
        <is>
          <t>Corporativa</t>
        </is>
      </c>
      <c r="B50" s="10" t="inlineStr">
        <is>
          <t>Soqueira 'Volt-9'</t>
        </is>
      </c>
      <c r="C50" s="10" t="inlineStr">
        <is>
          <t>Desarmado</t>
        </is>
      </c>
      <c r="D50" s="11" t="n">
        <v>1</v>
      </c>
      <c r="E50" s="11" t="n">
        <v>6</v>
      </c>
      <c r="F50" s="11" t="n">
        <v>1</v>
      </c>
      <c r="G50" s="11" t="n">
        <v>6</v>
      </c>
      <c r="H50" s="12">
        <f>D50&amp;"d"&amp;E50&amp;IF(F50="",""," + "&amp;F50&amp;"d"&amp;G50)</f>
        <v/>
      </c>
      <c r="I50" s="10" t="inlineStr">
        <is>
          <t>Concussao + Eletrico</t>
        </is>
      </c>
      <c r="J50" s="10" t="inlineStr">
        <is>
          <t>Baixo</t>
        </is>
      </c>
      <c r="K50" s="11" t="n"/>
      <c r="L50" s="10" t="inlineStr">
        <is>
          <t>Agil, Leve, Carga (6); vs cibernetica o 2o dado sobe a 1d8</t>
        </is>
      </c>
      <c r="M50" s="13" t="inlineStr">
        <is>
          <t>-</t>
        </is>
      </c>
      <c r="N50" s="14">
        <f>D50*(E50+1)/2+IF(F50="",0,F50*(G50+1)/2)</f>
        <v/>
      </c>
      <c r="O50" s="15">
        <f>MIN(0.95,MAX(0.05,(21-(Parametros!$B$6-(Parametros!$B$4-IF(M50="sim",Parametros!$B$8,0))))/20))</f>
        <v/>
      </c>
      <c r="P50" s="14">
        <f>O50*(N50+Parametros!$B$5)+0.05*N50</f>
        <v/>
      </c>
      <c r="Q50" s="11" t="n">
        <v>1</v>
      </c>
      <c r="R50" s="14">
        <f>P50*Q50</f>
        <v/>
      </c>
      <c r="S50" s="14">
        <f>IF(R50&lt;=0,"",Parametros!$B$7/R50)</f>
        <v/>
      </c>
      <c r="T50" s="13" t="inlineStr">
        <is>
          <t>Raro</t>
        </is>
      </c>
    </row>
    <row r="51">
      <c r="A51" s="10" t="inlineStr">
        <is>
          <t>Corporativa</t>
        </is>
      </c>
      <c r="B51" s="10" t="inlineStr">
        <is>
          <t>Cauterizador 'Miseria'</t>
        </is>
      </c>
      <c r="C51" s="10" t="inlineStr">
        <is>
          <t>Dispositivos</t>
        </is>
      </c>
      <c r="D51" s="11" t="n">
        <v>1</v>
      </c>
      <c r="E51" s="11" t="n">
        <v>8</v>
      </c>
      <c r="F51" s="11" t="n"/>
      <c r="G51" s="11" t="n"/>
      <c r="H51" s="12">
        <f>D51&amp;"d"&amp;E51&amp;IF(F51="",""," + "&amp;F51&amp;"d"&amp;G51)</f>
        <v/>
      </c>
      <c r="I51" s="10" t="inlineStr">
        <is>
          <t>Fogo</t>
        </is>
      </c>
      <c r="J51" s="10" t="inlineStr">
        <is>
          <t>Baixo</t>
        </is>
      </c>
      <c r="K51" s="11" t="n"/>
      <c r="L51" s="10" t="inlineStr">
        <is>
          <t>Agil, Leve, Carga (4); RARIDADE EXTREMA (anti-Infeccao)</t>
        </is>
      </c>
      <c r="M51" s="13" t="inlineStr">
        <is>
          <t>-</t>
        </is>
      </c>
      <c r="N51" s="14">
        <f>D51*(E51+1)/2+IF(F51="",0,F51*(G51+1)/2)</f>
        <v/>
      </c>
      <c r="O51" s="15">
        <f>MIN(0.95,MAX(0.05,(21-(Parametros!$B$6-(Parametros!$B$4-IF(M51="sim",Parametros!$B$8,0))))/20))</f>
        <v/>
      </c>
      <c r="P51" s="14">
        <f>O51*(N51+Parametros!$B$5)+0.05*N51</f>
        <v/>
      </c>
      <c r="Q51" s="11" t="n">
        <v>1</v>
      </c>
      <c r="R51" s="14">
        <f>P51*Q51</f>
        <v/>
      </c>
      <c r="S51" s="14">
        <f>IF(R51&lt;=0,"",Parametros!$B$7/R51)</f>
        <v/>
      </c>
      <c r="T51" s="17" t="inlineStr">
        <is>
          <t>MITICO</t>
        </is>
      </c>
    </row>
    <row r="52">
      <c r="A52" s="10" t="inlineStr">
        <is>
          <t>Corporativa</t>
        </is>
      </c>
      <c r="B52" s="10" t="inlineStr">
        <is>
          <t>Serra 'Denteira'</t>
        </is>
      </c>
      <c r="C52" s="10" t="inlineStr">
        <is>
          <t>Dispositivos</t>
        </is>
      </c>
      <c r="D52" s="11" t="n">
        <v>1</v>
      </c>
      <c r="E52" s="11" t="n">
        <v>8</v>
      </c>
      <c r="F52" s="11" t="n"/>
      <c r="G52" s="11" t="n"/>
      <c r="H52" s="12">
        <f>D52&amp;"d"&amp;E52&amp;IF(F52="",""," + "&amp;F52&amp;"d"&amp;G52)</f>
        <v/>
      </c>
      <c r="I52" s="10" t="inlineStr">
        <is>
          <t>Cortante</t>
        </is>
      </c>
      <c r="J52" s="10" t="inlineStr">
        <is>
          <t>MEDIO (motor)</t>
        </is>
      </c>
      <c r="K52" s="11" t="n">
        <v>12</v>
      </c>
      <c r="L52" s="10" t="inlineStr">
        <is>
          <t>Duas maos, Pesada, Serrilha: Sangrando 1 por camada, teto 5 (Aprov. 028)</t>
        </is>
      </c>
      <c r="M52" s="13" t="inlineStr">
        <is>
          <t>-</t>
        </is>
      </c>
      <c r="N52" s="14">
        <f>D52*(E52+1)/2+IF(F52="",0,F52*(G52+1)/2)</f>
        <v/>
      </c>
      <c r="O52" s="15">
        <f>MIN(0.95,MAX(0.05,(21-(Parametros!$B$6-(Parametros!$B$4-IF(M52="sim",Parametros!$B$8,0))))/20))</f>
        <v/>
      </c>
      <c r="P52" s="14">
        <f>O52*(N52+Parametros!$B$5)+0.05*N52</f>
        <v/>
      </c>
      <c r="Q52" s="11" t="n">
        <v>1</v>
      </c>
      <c r="R52" s="14">
        <f>P52*Q52</f>
        <v/>
      </c>
      <c r="S52" s="14">
        <f>IF(R52&lt;=0,"",Parametros!$B$7/R52)</f>
        <v/>
      </c>
      <c r="T52" s="13" t="inlineStr">
        <is>
          <t>Raro</t>
        </is>
      </c>
    </row>
    <row r="53">
      <c r="A53" s="8" t="inlineStr">
        <is>
          <t>TIER PROTOTIPO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</row>
    <row r="54">
      <c r="A54" s="10" t="inlineStr">
        <is>
          <t>Prototipo</t>
        </is>
      </c>
      <c r="B54" s="10" t="inlineStr">
        <is>
          <t>'Segunda Boca' braco-serra</t>
        </is>
      </c>
      <c r="C54" s="10" t="inlineStr">
        <is>
          <t>Laminas Curtas</t>
        </is>
      </c>
      <c r="D54" s="11" t="n">
        <v>1</v>
      </c>
      <c r="E54" s="11" t="n">
        <v>8</v>
      </c>
      <c r="F54" s="11" t="n">
        <v>1</v>
      </c>
      <c r="G54" s="11" t="n">
        <v>4</v>
      </c>
      <c r="H54" s="12">
        <f>D54&amp;"d"&amp;E54&amp;IF(F54="",""," + "&amp;F54&amp;"d"&amp;G54)</f>
        <v/>
      </c>
      <c r="I54" s="10" t="inlineStr">
        <is>
          <t>Cortante + Necrotico</t>
        </is>
      </c>
      <c r="J54" s="10" t="inlineStr">
        <is>
          <t>Silencioso</t>
        </is>
      </c>
      <c r="K54" s="11" t="n"/>
      <c r="L54" s="10" t="inlineStr">
        <is>
          <t>Enxertada, Agil, Absorcao; RARIDADE EXTREMA</t>
        </is>
      </c>
      <c r="M54" s="13" t="inlineStr">
        <is>
          <t>-</t>
        </is>
      </c>
      <c r="N54" s="14">
        <f>D54*(E54+1)/2+IF(F54="",0,F54*(G54+1)/2)</f>
        <v/>
      </c>
      <c r="O54" s="15">
        <f>MIN(0.95,MAX(0.05,(21-(Parametros!$B$6-(Parametros!$B$4-IF(M54="sim",Parametros!$B$8,0))))/20))</f>
        <v/>
      </c>
      <c r="P54" s="14">
        <f>O54*(N54+Parametros!$B$5)+0.05*N54</f>
        <v/>
      </c>
      <c r="Q54" s="11" t="n">
        <v>1</v>
      </c>
      <c r="R54" s="14">
        <f>P54*Q54</f>
        <v/>
      </c>
      <c r="S54" s="14">
        <f>IF(R54&lt;=0,"",Parametros!$B$7/R54)</f>
        <v/>
      </c>
      <c r="T54" s="17" t="inlineStr">
        <is>
          <t>MITICO</t>
        </is>
      </c>
    </row>
    <row r="55">
      <c r="A55" s="10" t="inlineStr">
        <is>
          <t>Prototipo</t>
        </is>
      </c>
      <c r="B55" s="10" t="inlineStr">
        <is>
          <t>'Jugo' bastao neural</t>
        </is>
      </c>
      <c r="C55" s="10" t="inlineStr">
        <is>
          <t>Contundentes</t>
        </is>
      </c>
      <c r="D55" s="11" t="n">
        <v>1</v>
      </c>
      <c r="E55" s="11" t="n">
        <v>6</v>
      </c>
      <c r="F55" s="11" t="n">
        <v>1</v>
      </c>
      <c r="G55" s="11" t="n">
        <v>8</v>
      </c>
      <c r="H55" s="12">
        <f>D55&amp;"d"&amp;E55&amp;IF(F55="",""," + "&amp;F55&amp;"d"&amp;G55)</f>
        <v/>
      </c>
      <c r="I55" s="10" t="inlineStr">
        <is>
          <t>Concussao + Eletrico</t>
        </is>
      </c>
      <c r="J55" s="10" t="inlineStr">
        <is>
          <t>Baixo</t>
        </is>
      </c>
      <c r="K55" s="11" t="n"/>
      <c r="L55" s="10" t="inlineStr">
        <is>
          <t>Duas maos, Carga (5), Subjugar; 3 Ecos e voce desliga</t>
        </is>
      </c>
      <c r="M55" s="13" t="inlineStr">
        <is>
          <t>-</t>
        </is>
      </c>
      <c r="N55" s="14">
        <f>D55*(E55+1)/2+IF(F55="",0,F55*(G55+1)/2)</f>
        <v/>
      </c>
      <c r="O55" s="15">
        <f>MIN(0.95,MAX(0.05,(21-(Parametros!$B$6-(Parametros!$B$4-IF(M55="sim",Parametros!$B$8,0))))/20))</f>
        <v/>
      </c>
      <c r="P55" s="14">
        <f>O55*(N55+Parametros!$B$5)+0.05*N55</f>
        <v/>
      </c>
      <c r="Q55" s="11" t="n">
        <v>1</v>
      </c>
      <c r="R55" s="14">
        <f>P55*Q55</f>
        <v/>
      </c>
      <c r="S55" s="14">
        <f>IF(R55&lt;=0,"",Parametros!$B$7/R55)</f>
        <v/>
      </c>
      <c r="T55" s="13" t="inlineStr">
        <is>
          <t>Epico</t>
        </is>
      </c>
    </row>
    <row r="56">
      <c r="A56" s="10" t="inlineStr">
        <is>
          <t>Prototipo</t>
        </is>
      </c>
      <c r="B56" s="10" t="inlineStr">
        <is>
          <t>'Ferro de Marca'</t>
        </is>
      </c>
      <c r="C56" s="10" t="inlineStr">
        <is>
          <t>Laminas Curtas</t>
        </is>
      </c>
      <c r="D56" s="11" t="n">
        <v>1</v>
      </c>
      <c r="E56" s="11" t="n">
        <v>8</v>
      </c>
      <c r="F56" s="11" t="n">
        <v>1</v>
      </c>
      <c r="G56" s="11" t="n">
        <v>4</v>
      </c>
      <c r="H56" s="12">
        <f>D56&amp;"d"&amp;E56&amp;IF(F56="",""," + "&amp;F56&amp;"d"&amp;G56)</f>
        <v/>
      </c>
      <c r="I56" s="10" t="inlineStr">
        <is>
          <t>Cortante + Fogo</t>
        </is>
      </c>
      <c r="J56" s="10" t="inlineStr">
        <is>
          <t>Baixo</t>
        </is>
      </c>
      <c r="K56" s="11" t="n"/>
      <c r="L56" s="10" t="inlineStr">
        <is>
          <t>Agil, Carga (10), Cauterizar; RARIDADE EXTREMA</t>
        </is>
      </c>
      <c r="M56" s="13" t="inlineStr">
        <is>
          <t>-</t>
        </is>
      </c>
      <c r="N56" s="14">
        <f>D56*(E56+1)/2+IF(F56="",0,F56*(G56+1)/2)</f>
        <v/>
      </c>
      <c r="O56" s="15">
        <f>MIN(0.95,MAX(0.05,(21-(Parametros!$B$6-(Parametros!$B$4-IF(M56="sim",Parametros!$B$8,0))))/20))</f>
        <v/>
      </c>
      <c r="P56" s="14">
        <f>O56*(N56+Parametros!$B$5)+0.05*N56</f>
        <v/>
      </c>
      <c r="Q56" s="11" t="n">
        <v>1</v>
      </c>
      <c r="R56" s="14">
        <f>P56*Q56</f>
        <v/>
      </c>
      <c r="S56" s="14">
        <f>IF(R56&lt;=0,"",Parametros!$B$7/R56)</f>
        <v/>
      </c>
      <c r="T56" s="17" t="inlineStr">
        <is>
          <t>MITICO</t>
        </is>
      </c>
    </row>
    <row r="57">
      <c r="A57" s="10" t="inlineStr">
        <is>
          <t>Prototipo</t>
        </is>
      </c>
      <c r="B57" s="10" t="inlineStr">
        <is>
          <t>'Extrator' arpao de resgate</t>
        </is>
      </c>
      <c r="C57" s="10" t="inlineStr">
        <is>
          <t>Hastes</t>
        </is>
      </c>
      <c r="D57" s="11" t="n">
        <v>1</v>
      </c>
      <c r="E57" s="11" t="n">
        <v>8</v>
      </c>
      <c r="F57" s="11" t="n"/>
      <c r="G57" s="11" t="n"/>
      <c r="H57" s="12">
        <f>D57&amp;"d"&amp;E57&amp;IF(F57="",""," + "&amp;F57&amp;"d"&amp;G57)</f>
        <v/>
      </c>
      <c r="I57" s="10" t="inlineStr">
        <is>
          <t>Perfurante</t>
        </is>
      </c>
      <c r="J57" s="10" t="inlineStr">
        <is>
          <t>Baixo</t>
        </is>
      </c>
      <c r="K57" s="11" t="n"/>
      <c r="L57" s="10" t="inlineStr">
        <is>
          <t>Duas maos, Cabo, 8 hex; alvo Grande/Enorme arrasta VOCE (Aprov. 025)</t>
        </is>
      </c>
      <c r="M57" s="13" t="inlineStr">
        <is>
          <t>-</t>
        </is>
      </c>
      <c r="N57" s="14">
        <f>D57*(E57+1)/2+IF(F57="",0,F57*(G57+1)/2)</f>
        <v/>
      </c>
      <c r="O57" s="15">
        <f>MIN(0.95,MAX(0.05,(21-(Parametros!$B$6-(Parametros!$B$4-IF(M57="sim",Parametros!$B$8,0))))/20))</f>
        <v/>
      </c>
      <c r="P57" s="14">
        <f>O57*(N57+Parametros!$B$5)+0.05*N57</f>
        <v/>
      </c>
      <c r="Q57" s="11" t="n">
        <v>1</v>
      </c>
      <c r="R57" s="14">
        <f>P57*Q57</f>
        <v/>
      </c>
      <c r="S57" s="14">
        <f>IF(R57&lt;=0,"",Parametros!$B$7/R57)</f>
        <v/>
      </c>
      <c r="T57" s="13" t="inlineStr">
        <is>
          <t>Epico</t>
        </is>
      </c>
    </row>
    <row r="59">
      <c r="A59" s="4" t="inlineStr">
        <is>
          <t>RUIDO - precedencia canonica: PESADA vence CONCUSSAO vence CORTANTE/PERFURANTE/LEVE.</t>
        </is>
      </c>
    </row>
    <row r="60">
      <c r="A60" s="4" t="inlineStr">
        <is>
          <t xml:space="preserve">   CLAUSULA DE MOTOR (Aprovacao 012): motor ou carga pirotecnica SOBREPOE a precedencia, inclusive em corpo a corpo.</t>
        </is>
      </c>
    </row>
    <row r="61">
      <c r="A61" s="4" t="inlineStr">
        <is>
          <t xml:space="preserve">   Por isso Rebarbadora = ALTO e Denteira = MEDIO, apesar de serem corpo a corpo.</t>
        </is>
      </c>
    </row>
    <row r="62">
      <c r="A62" s="4" t="inlineStr">
        <is>
          <t>FOR min. escala com MASSA E RECUO, nao com dano: a Rebarbadora de 1d10 exige 12, a Tampa de Bueiro de 1d6 exige 14.</t>
        </is>
      </c>
    </row>
    <row r="63">
      <c r="A63" s="4" t="inlineStr">
        <is>
          <t>Impr. = tem a propriedade Improvisada, logo NAO soma proficiencia; a coluna DPR ja desconta isso.</t>
        </is>
      </c>
    </row>
    <row r="64">
      <c r="A64" s="4" t="inlineStr">
        <is>
          <t>As duplicatas foram fundidas na Aprovacao 012: saiu Baioneta de Encaixe (1d6) e saiu Pa de Trincheira (1d8).</t>
        </is>
      </c>
    </row>
    <row r="65">
      <c r="A65" s="4" t="inlineStr">
        <is>
          <t xml:space="preserve">   Ficaram as versoes com mecanica: Baioneta-Adaptador M7 (Acoplada) e Pa de Sapador (Dupla Face).</t>
        </is>
      </c>
    </row>
    <row r="66">
      <c r="A66" s="4" t="inlineStr">
        <is>
          <t>Armas de dano duplo usam as colunas N2/Faces2. O DPR soma os dois dados; o critico dobra ambos.</t>
        </is>
      </c>
    </row>
    <row r="67">
      <c r="A67" s="4" t="inlineStr">
        <is>
          <t>'Volt-9' carregada da 6,35 - excecao NOMEADA ao teto de 6,025, paga pelo decaimento a 4,08 sem carga.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min="1" max="1"/>
    <col width="28" customWidth="1" min="2" max="2"/>
    <col width="20" customWidth="1" min="3" max="3"/>
    <col width="5" customWidth="1" min="4" max="4"/>
    <col width="7" customWidth="1" min="5" max="5"/>
    <col width="5" customWidth="1" min="6" max="6"/>
    <col width="7" customWidth="1" min="7" max="7"/>
    <col width="12" customWidth="1" min="8" max="8"/>
    <col width="18" customWidth="1" min="9" max="9"/>
    <col width="10" customWidth="1" min="10" max="10"/>
    <col width="9" customWidth="1" min="11" max="11"/>
    <col width="40" customWidth="1" min="12" max="12"/>
    <col width="7" customWidth="1" min="13" max="13"/>
    <col width="11" customWidth="1" min="14" max="14"/>
    <col width="10" customWidth="1" min="15" max="15"/>
    <col width="9" customWidth="1" min="16" max="16"/>
    <col width="8" customWidth="1" min="17" max="17"/>
    <col width="10" customWidth="1" min="18" max="19"/>
    <col width="12" customWidth="1" min="20" max="20"/>
  </cols>
  <sheetData>
    <row r="1" ht="16.8" customHeight="1">
      <c r="A1" s="1" t="inlineStr">
        <is>
          <t>Armas e dispositivos silenciosos a distancia</t>
        </is>
      </c>
    </row>
    <row r="3" ht="26.4" customHeight="1">
      <c r="A3" s="5" t="inlineStr">
        <is>
          <t>Tier</t>
        </is>
      </c>
      <c r="B3" s="5" t="inlineStr">
        <is>
          <t>Arma</t>
        </is>
      </c>
      <c r="C3" s="5" t="inlineStr">
        <is>
          <t>Familia</t>
        </is>
      </c>
      <c r="D3" s="5" t="inlineStr">
        <is>
          <t>N</t>
        </is>
      </c>
      <c r="E3" s="5" t="inlineStr">
        <is>
          <t>Faces</t>
        </is>
      </c>
      <c r="F3" s="5" t="inlineStr">
        <is>
          <t>N2</t>
        </is>
      </c>
      <c r="G3" s="5" t="inlineStr">
        <is>
          <t>Faces2</t>
        </is>
      </c>
      <c r="H3" s="5" t="inlineStr">
        <is>
          <t>Dado</t>
        </is>
      </c>
      <c r="I3" s="5" t="inlineStr">
        <is>
          <t>Tipo de dano</t>
        </is>
      </c>
      <c r="J3" s="5" t="inlineStr">
        <is>
          <t>Ruido</t>
        </is>
      </c>
      <c r="K3" s="5" t="inlineStr">
        <is>
          <t>FOR min.</t>
        </is>
      </c>
      <c r="L3" s="5" t="inlineStr">
        <is>
          <t>Propriedades</t>
        </is>
      </c>
      <c r="M3" s="5" t="inlineStr">
        <is>
          <t>Impr.</t>
        </is>
      </c>
      <c r="N3" s="5" t="inlineStr">
        <is>
          <t>Dano medio</t>
        </is>
      </c>
      <c r="O3" s="5" t="inlineStr">
        <is>
          <t>P(acerto)</t>
        </is>
      </c>
      <c r="P3" s="5" t="inlineStr">
        <is>
          <t>DPR</t>
        </is>
      </c>
      <c r="Q3" s="5" t="inlineStr">
        <is>
          <t>F.sust.</t>
        </is>
      </c>
      <c r="R3" s="5" t="inlineStr">
        <is>
          <t>DPR sust.</t>
        </is>
      </c>
      <c r="S3" s="5" t="inlineStr">
        <is>
          <t>Rodadas</t>
        </is>
      </c>
      <c r="T3" s="7" t="inlineStr">
        <is>
          <t>Raridade</t>
        </is>
      </c>
    </row>
    <row r="4">
      <c r="A4" s="8" t="inlineStr">
        <is>
          <t>TIER IMPROVISO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</row>
    <row r="5">
      <c r="A5" s="10" t="inlineStr">
        <is>
          <t>Improviso</t>
        </is>
      </c>
      <c r="B5" s="10" t="inlineStr">
        <is>
          <t>Fisga de Rolamentos</t>
        </is>
      </c>
      <c r="C5" s="10" t="inlineStr">
        <is>
          <t>Projeteis Mecanicos</t>
        </is>
      </c>
      <c r="D5" s="11" t="n">
        <v>1</v>
      </c>
      <c r="E5" s="11" t="n">
        <v>4</v>
      </c>
      <c r="F5" s="11" t="n"/>
      <c r="G5" s="11" t="n"/>
      <c r="H5" s="12">
        <f>D5&amp;"d"&amp;E5&amp;IF(F5="",""," + "&amp;F5&amp;"d"&amp;G5)</f>
        <v/>
      </c>
      <c r="I5" s="10" t="inlineStr">
        <is>
          <t>Perfurante</t>
        </is>
      </c>
      <c r="J5" s="10" t="inlineStr">
        <is>
          <t>Silencioso</t>
        </is>
      </c>
      <c r="K5" s="11" t="n"/>
      <c r="L5" s="10" t="inlineStr">
        <is>
          <t>Leve, Duas maos, Recarga, 6/12 hex</t>
        </is>
      </c>
      <c r="M5" s="13" t="inlineStr">
        <is>
          <t>-</t>
        </is>
      </c>
      <c r="N5" s="14">
        <f>D5*(E5+1)/2+IF(F5="",0,F5*(G5+1)/2)</f>
        <v/>
      </c>
      <c r="O5" s="15">
        <f>MIN(0.95,MAX(0.05,(21-(Parametros!$B$6-(Parametros!$B$4-IF(M5="sim",Parametros!$B$8,0))))/20))</f>
        <v/>
      </c>
      <c r="P5" s="14">
        <f>O5*(N5+Parametros!$B$5)+0.05*N5</f>
        <v/>
      </c>
      <c r="Q5" s="11" t="n">
        <v>0.5</v>
      </c>
      <c r="R5" s="14">
        <f>P5*Q5</f>
        <v/>
      </c>
      <c r="S5" s="14">
        <f>IF(R5&lt;=0,"",Parametros!$B$7/R5)</f>
        <v/>
      </c>
      <c r="T5" s="13" t="inlineStr">
        <is>
          <t>Abundante</t>
        </is>
      </c>
    </row>
    <row r="6">
      <c r="A6" s="8" t="inlineStr">
        <is>
          <t>TIER CIVIL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</row>
    <row r="7">
      <c r="A7" s="10" t="inlineStr">
        <is>
          <t>Civil</t>
        </is>
      </c>
      <c r="B7" s="10" t="inlineStr">
        <is>
          <t>Arco Artesanal</t>
        </is>
      </c>
      <c r="C7" s="10" t="inlineStr">
        <is>
          <t>Projeteis Mecanicos</t>
        </is>
      </c>
      <c r="D7" s="11" t="n">
        <v>1</v>
      </c>
      <c r="E7" s="11" t="n">
        <v>6</v>
      </c>
      <c r="F7" s="11" t="n"/>
      <c r="G7" s="11" t="n"/>
      <c r="H7" s="12">
        <f>D7&amp;"d"&amp;E7&amp;IF(F7="",""," + "&amp;F7&amp;"d"&amp;G7)</f>
        <v/>
      </c>
      <c r="I7" s="10" t="inlineStr">
        <is>
          <t>Perfurante</t>
        </is>
      </c>
      <c r="J7" s="10" t="inlineStr">
        <is>
          <t>Silencioso</t>
        </is>
      </c>
      <c r="K7" s="11" t="n"/>
      <c r="L7" s="10" t="inlineStr">
        <is>
          <t>16/48 hex, municao recuperavel</t>
        </is>
      </c>
      <c r="M7" s="13" t="inlineStr">
        <is>
          <t>-</t>
        </is>
      </c>
      <c r="N7" s="14">
        <f>D7*(E7+1)/2+IF(F7="",0,F7*(G7+1)/2)</f>
        <v/>
      </c>
      <c r="O7" s="15">
        <f>MIN(0.95,MAX(0.05,(21-(Parametros!$B$6-(Parametros!$B$4-IF(M7="sim",Parametros!$B$8,0))))/20))</f>
        <v/>
      </c>
      <c r="P7" s="14">
        <f>O7*(N7+Parametros!$B$5)+0.05*N7</f>
        <v/>
      </c>
      <c r="Q7" s="11" t="n">
        <v>1</v>
      </c>
      <c r="R7" s="14">
        <f>P7*Q7</f>
        <v/>
      </c>
      <c r="S7" s="14">
        <f>IF(R7&lt;=0,"",Parametros!$B$7/R7)</f>
        <v/>
      </c>
      <c r="T7" s="13" t="inlineStr">
        <is>
          <t>Comum</t>
        </is>
      </c>
    </row>
    <row r="8">
      <c r="A8" s="10" t="inlineStr">
        <is>
          <t>Civil</t>
        </is>
      </c>
      <c r="B8" s="10" t="inlineStr">
        <is>
          <t>Dardo de Atletismo</t>
        </is>
      </c>
      <c r="C8" s="10" t="inlineStr">
        <is>
          <t>Hastes</t>
        </is>
      </c>
      <c r="D8" s="11" t="n">
        <v>1</v>
      </c>
      <c r="E8" s="11" t="n">
        <v>6</v>
      </c>
      <c r="F8" s="11" t="n"/>
      <c r="G8" s="11" t="n"/>
      <c r="H8" s="12">
        <f>D8&amp;"d"&amp;E8&amp;IF(F8="",""," + "&amp;F8&amp;"d"&amp;G8)</f>
        <v/>
      </c>
      <c r="I8" s="10" t="inlineStr">
        <is>
          <t>Perfurante</t>
        </is>
      </c>
      <c r="J8" s="10" t="inlineStr">
        <is>
          <t>Silencioso</t>
        </is>
      </c>
      <c r="K8" s="11" t="n"/>
      <c r="L8" s="10" t="inlineStr">
        <is>
          <t>Alcance 2 hex empunhado, Arremessavel (6/12)</t>
        </is>
      </c>
      <c r="M8" s="13" t="inlineStr">
        <is>
          <t>-</t>
        </is>
      </c>
      <c r="N8" s="14">
        <f>D8*(E8+1)/2+IF(F8="",0,F8*(G8+1)/2)</f>
        <v/>
      </c>
      <c r="O8" s="15">
        <f>MIN(0.95,MAX(0.05,(21-(Parametros!$B$6-(Parametros!$B$4-IF(M8="sim",Parametros!$B$8,0))))/20))</f>
        <v/>
      </c>
      <c r="P8" s="14">
        <f>O8*(N8+Parametros!$B$5)+0.05*N8</f>
        <v/>
      </c>
      <c r="Q8" s="11" t="n">
        <v>1</v>
      </c>
      <c r="R8" s="14">
        <f>P8*Q8</f>
        <v/>
      </c>
      <c r="S8" s="14">
        <f>IF(R8&lt;=0,"",Parametros!$B$7/R8)</f>
        <v/>
      </c>
      <c r="T8" s="13" t="inlineStr">
        <is>
          <t>Comum</t>
        </is>
      </c>
    </row>
    <row r="9">
      <c r="A9" s="10" t="inlineStr">
        <is>
          <t>Civil</t>
        </is>
      </c>
      <c r="B9" s="10" t="inlineStr">
        <is>
          <t>Besta de Caca</t>
        </is>
      </c>
      <c r="C9" s="10" t="inlineStr">
        <is>
          <t>Projeteis Mecanicos</t>
        </is>
      </c>
      <c r="D9" s="11" t="n">
        <v>1</v>
      </c>
      <c r="E9" s="11" t="n">
        <v>8</v>
      </c>
      <c r="F9" s="11" t="n"/>
      <c r="G9" s="11" t="n"/>
      <c r="H9" s="12">
        <f>D9&amp;"d"&amp;E9&amp;IF(F9="",""," + "&amp;F9&amp;"d"&amp;G9)</f>
        <v/>
      </c>
      <c r="I9" s="10" t="inlineStr">
        <is>
          <t>Perfurante</t>
        </is>
      </c>
      <c r="J9" s="10" t="inlineStr">
        <is>
          <t>Silencioso</t>
        </is>
      </c>
      <c r="K9" s="11" t="n"/>
      <c r="L9" s="10" t="inlineStr">
        <is>
          <t>Duas maos, Recarga, 10/20 hex</t>
        </is>
      </c>
      <c r="M9" s="13" t="inlineStr">
        <is>
          <t>-</t>
        </is>
      </c>
      <c r="N9" s="14">
        <f>D9*(E9+1)/2+IF(F9="",0,F9*(G9+1)/2)</f>
        <v/>
      </c>
      <c r="O9" s="15">
        <f>MIN(0.95,MAX(0.05,(21-(Parametros!$B$6-(Parametros!$B$4-IF(M9="sim",Parametros!$B$8,0))))/20))</f>
        <v/>
      </c>
      <c r="P9" s="14">
        <f>O9*(N9+Parametros!$B$5)+0.05*N9</f>
        <v/>
      </c>
      <c r="Q9" s="11" t="n">
        <v>0.5</v>
      </c>
      <c r="R9" s="14">
        <f>P9*Q9</f>
        <v/>
      </c>
      <c r="S9" s="14">
        <f>IF(R9&lt;=0,"",Parametros!$B$7/R9)</f>
        <v/>
      </c>
      <c r="T9" s="13" t="inlineStr">
        <is>
          <t>Incomum</t>
        </is>
      </c>
    </row>
    <row r="10">
      <c r="A10" s="10" t="inlineStr">
        <is>
          <t>Civil</t>
        </is>
      </c>
      <c r="B10" s="10" t="inlineStr">
        <is>
          <t>Arpao Pneumatico de Pesca</t>
        </is>
      </c>
      <c r="C10" s="10" t="inlineStr">
        <is>
          <t>Projeteis Mecanicos</t>
        </is>
      </c>
      <c r="D10" s="11" t="n">
        <v>1</v>
      </c>
      <c r="E10" s="11" t="n">
        <v>8</v>
      </c>
      <c r="F10" s="11" t="n"/>
      <c r="G10" s="11" t="n"/>
      <c r="H10" s="12">
        <f>D10&amp;"d"&amp;E10&amp;IF(F10="",""," + "&amp;F10&amp;"d"&amp;G10)</f>
        <v/>
      </c>
      <c r="I10" s="10" t="inlineStr">
        <is>
          <t>Perfurante</t>
        </is>
      </c>
      <c r="J10" s="10" t="inlineStr">
        <is>
          <t>Baixo (pneumatico)</t>
        </is>
      </c>
      <c r="K10" s="11" t="n"/>
      <c r="L10" s="10" t="inlineStr">
        <is>
          <t>Duas maos, Recarga, 5/10 hex, projetil por cabo</t>
        </is>
      </c>
      <c r="M10" s="13" t="inlineStr">
        <is>
          <t>-</t>
        </is>
      </c>
      <c r="N10" s="14">
        <f>D10*(E10+1)/2+IF(F10="",0,F10*(G10+1)/2)</f>
        <v/>
      </c>
      <c r="O10" s="15">
        <f>MIN(0.95,MAX(0.05,(21-(Parametros!$B$6-(Parametros!$B$4-IF(M10="sim",Parametros!$B$8,0))))/20))</f>
        <v/>
      </c>
      <c r="P10" s="14">
        <f>O10*(N10+Parametros!$B$5)+0.05*N10</f>
        <v/>
      </c>
      <c r="Q10" s="11" t="n">
        <v>0.5</v>
      </c>
      <c r="R10" s="14">
        <f>P10*Q10</f>
        <v/>
      </c>
      <c r="S10" s="14">
        <f>IF(R10&lt;=0,"",Parametros!$B$7/R10)</f>
        <v/>
      </c>
      <c r="T10" s="13" t="inlineStr">
        <is>
          <t>Incomum</t>
        </is>
      </c>
    </row>
    <row r="11">
      <c r="A11" s="8" t="inlineStr">
        <is>
          <t>TIER MILITAR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</row>
    <row r="12">
      <c r="A12" s="10" t="inlineStr">
        <is>
          <t>Militar</t>
        </is>
      </c>
      <c r="B12" s="10" t="inlineStr">
        <is>
          <t>Besta Pesada</t>
        </is>
      </c>
      <c r="C12" s="10" t="inlineStr">
        <is>
          <t>Projeteis Mecanicos</t>
        </is>
      </c>
      <c r="D12" s="11" t="n">
        <v>1</v>
      </c>
      <c r="E12" s="11" t="n">
        <v>10</v>
      </c>
      <c r="F12" s="11" t="n"/>
      <c r="G12" s="11" t="n"/>
      <c r="H12" s="12">
        <f>D12&amp;"d"&amp;E12&amp;IF(F12="",""," + "&amp;F12&amp;"d"&amp;G12)</f>
        <v/>
      </c>
      <c r="I12" s="10" t="inlineStr">
        <is>
          <t>Perfurante</t>
        </is>
      </c>
      <c r="J12" s="10" t="inlineStr">
        <is>
          <t>Silencioso</t>
        </is>
      </c>
      <c r="K12" s="11" t="n"/>
      <c r="L12" s="10" t="inlineStr">
        <is>
          <t>Duas maos, Recarga, 20/60 hex, municao recuperavel</t>
        </is>
      </c>
      <c r="M12" s="13" t="inlineStr">
        <is>
          <t>-</t>
        </is>
      </c>
      <c r="N12" s="14">
        <f>D12*(E12+1)/2+IF(F12="",0,F12*(G12+1)/2)</f>
        <v/>
      </c>
      <c r="O12" s="15">
        <f>MIN(0.95,MAX(0.05,(21-(Parametros!$B$6-(Parametros!$B$4-IF(M12="sim",Parametros!$B$8,0))))/20))</f>
        <v/>
      </c>
      <c r="P12" s="14">
        <f>O12*(N12+Parametros!$B$5)+0.05*N12</f>
        <v/>
      </c>
      <c r="Q12" s="11" t="n">
        <v>0.5</v>
      </c>
      <c r="R12" s="14">
        <f>P12*Q12</f>
        <v/>
      </c>
      <c r="S12" s="14">
        <f>IF(R12&lt;=0,"",Parametros!$B$7/R12)</f>
        <v/>
      </c>
      <c r="T12" s="13" t="inlineStr">
        <is>
          <t>Raro</t>
        </is>
      </c>
    </row>
    <row r="13">
      <c r="A13" s="10" t="inlineStr">
        <is>
          <t>Militar</t>
        </is>
      </c>
      <c r="B13" s="10" t="inlineStr">
        <is>
          <t>Lancador de Cabo de Abordagem</t>
        </is>
      </c>
      <c r="C13" s="10" t="inlineStr">
        <is>
          <t>Projeteis Mecanicos</t>
        </is>
      </c>
      <c r="D13" s="11" t="n">
        <v>1</v>
      </c>
      <c r="E13" s="11" t="n">
        <v>6</v>
      </c>
      <c r="F13" s="11" t="n"/>
      <c r="G13" s="11" t="n"/>
      <c r="H13" s="12">
        <f>D13&amp;"d"&amp;E13&amp;IF(F13="",""," + "&amp;F13&amp;"d"&amp;G13)</f>
        <v/>
      </c>
      <c r="I13" s="10" t="inlineStr">
        <is>
          <t>Perfurante</t>
        </is>
      </c>
      <c r="J13" s="10" t="inlineStr">
        <is>
          <t>Baixo (pneumatico)</t>
        </is>
      </c>
      <c r="K13" s="11" t="n"/>
      <c r="L13" s="10" t="inlineStr">
        <is>
          <t>Duas maos, Recarga, 8/16 hex; cabo sustenta uma pessoa</t>
        </is>
      </c>
      <c r="M13" s="13" t="inlineStr">
        <is>
          <t>-</t>
        </is>
      </c>
      <c r="N13" s="14">
        <f>D13*(E13+1)/2+IF(F13="",0,F13*(G13+1)/2)</f>
        <v/>
      </c>
      <c r="O13" s="15">
        <f>MIN(0.95,MAX(0.05,(21-(Parametros!$B$6-(Parametros!$B$4-IF(M13="sim",Parametros!$B$8,0))))/20))</f>
        <v/>
      </c>
      <c r="P13" s="14">
        <f>O13*(N13+Parametros!$B$5)+0.05*N13</f>
        <v/>
      </c>
      <c r="Q13" s="11" t="n">
        <v>0.5</v>
      </c>
      <c r="R13" s="14">
        <f>P13*Q13</f>
        <v/>
      </c>
      <c r="S13" s="14">
        <f>IF(R13&lt;=0,"",Parametros!$B$7/R13)</f>
        <v/>
      </c>
      <c r="T13" s="13" t="inlineStr">
        <is>
          <t>Incomum</t>
        </is>
      </c>
    </row>
    <row r="14">
      <c r="A14" s="8" t="inlineStr">
        <is>
          <t>TIER PROTOTIPO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>
      <c r="A15" s="10" t="inlineStr">
        <is>
          <t>Prototipo</t>
        </is>
      </c>
      <c r="B15" s="10" t="inlineStr">
        <is>
          <t>'Cantor' dardo chamariz</t>
        </is>
      </c>
      <c r="C15" s="10" t="inlineStr">
        <is>
          <t>Projeteis Mecanicos</t>
        </is>
      </c>
      <c r="D15" s="11" t="n">
        <v>1</v>
      </c>
      <c r="E15" s="11" t="n">
        <v>6</v>
      </c>
      <c r="F15" s="11" t="n"/>
      <c r="G15" s="11" t="n"/>
      <c r="H15" s="12">
        <f>D15&amp;"d"&amp;E15&amp;IF(F15="",""," + "&amp;F15&amp;"d"&amp;G15)</f>
        <v/>
      </c>
      <c r="I15" s="10" t="inlineStr">
        <is>
          <t>Perfurante</t>
        </is>
      </c>
      <c r="J15" s="10" t="inlineStr">
        <is>
          <t>Silencioso</t>
        </is>
      </c>
      <c r="K15" s="11" t="n"/>
      <c r="L15" s="10" t="inlineStr">
        <is>
          <t>Carga (2) por cena, 12 hex; cria ruido Nivel 2 em OUTRO hex</t>
        </is>
      </c>
      <c r="M15" s="13" t="inlineStr">
        <is>
          <t>-</t>
        </is>
      </c>
      <c r="N15" s="14">
        <f>D15*(E15+1)/2+IF(F15="",0,F15*(G15+1)/2)</f>
        <v/>
      </c>
      <c r="O15" s="15">
        <f>MIN(0.95,MAX(0.05,(21-(Parametros!$B$6-(Parametros!$B$4-IF(M15="sim",Parametros!$B$8,0))))/20))</f>
        <v/>
      </c>
      <c r="P15" s="14">
        <f>O15*(N15+Parametros!$B$5)+0.05*N15</f>
        <v/>
      </c>
      <c r="Q15" s="11" t="n">
        <v>1</v>
      </c>
      <c r="R15" s="14">
        <f>P15*Q15</f>
        <v/>
      </c>
      <c r="S15" s="14">
        <f>IF(R15&lt;=0,"",Parametros!$B$7/R15)</f>
        <v/>
      </c>
      <c r="T15" s="13" t="inlineStr">
        <is>
          <t>Epico</t>
        </is>
      </c>
    </row>
    <row r="17">
      <c r="A17" s="4" t="inlineStr">
        <is>
          <t>F.sust. = fracao dos turnos em que a arma consegue atacar. 0,5 = Recarga custa 1 Acao, disparo em turnos alternados.</t>
        </is>
      </c>
    </row>
    <row r="18">
      <c r="A18" s="4" t="inlineStr">
        <is>
          <t>CORRIGIDO na v0.4: Fisga de Rolamentos e Seringa de Pressao tinham Recarga mas estavam com F.sust. = 1, inflando o DPR.</t>
        </is>
      </c>
    </row>
    <row r="19">
      <c r="A19" s="4" t="inlineStr">
        <is>
          <t>O 'CANTOR' ESTA AQUI, e nao em Armas de Fogo: e um lancador de dardos, nao uma arma de polvora.</t>
        </is>
      </c>
    </row>
    <row r="20">
      <c r="A20" s="4" t="inlineStr">
        <is>
          <t xml:space="preserve">   Seu Ruido Silencioso esta CORRETO pela regra canonica (tensao mecanica = Silencioso) e NAO e excecao a regra da Vigilia.</t>
        </is>
      </c>
    </row>
    <row r="21">
      <c r="A21" s="4" t="inlineStr">
        <is>
          <t>BESTA PESADA era so 'Besta' no canon original; renomeada na Aprovacao 010 para conviver com a Besta de Caca.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min="1" max="1"/>
    <col width="24" customWidth="1" min="2" max="2"/>
    <col width="18" customWidth="1" min="3" max="3"/>
    <col width="5" customWidth="1" min="4" max="4"/>
    <col width="7" customWidth="1" min="5" max="5"/>
    <col width="5" customWidth="1" min="6" max="6"/>
    <col width="7" customWidth="1" min="7" max="7"/>
    <col width="12" customWidth="1" min="8" max="8"/>
    <col width="9" customWidth="1" min="9" max="9"/>
    <col width="11" customWidth="1" min="10" max="11"/>
    <col width="8" customWidth="1" min="12" max="12"/>
    <col width="20" customWidth="1" min="13" max="13"/>
    <col width="12" customWidth="1" min="14" max="15"/>
    <col width="11" customWidth="1" min="16" max="16"/>
    <col width="10" customWidth="1" min="17" max="17"/>
    <col width="9" customWidth="1" min="18" max="18"/>
    <col width="11" customWidth="1" min="19" max="19"/>
    <col width="12" customWidth="1" min="20" max="20"/>
  </cols>
  <sheetData>
    <row r="1" ht="16.8" customHeight="1">
      <c r="A1" s="1" t="inlineStr">
        <is>
          <t>Armas de fogo</t>
        </is>
      </c>
    </row>
    <row r="3" ht="26.4" customHeight="1">
      <c r="A3" s="5" t="inlineStr">
        <is>
          <t>Tier</t>
        </is>
      </c>
      <c r="B3" s="5" t="inlineStr">
        <is>
          <t>Arma</t>
        </is>
      </c>
      <c r="C3" s="5" t="inlineStr">
        <is>
          <t>Familia</t>
        </is>
      </c>
      <c r="D3" s="5" t="inlineStr">
        <is>
          <t>N</t>
        </is>
      </c>
      <c r="E3" s="5" t="inlineStr">
        <is>
          <t>Faces</t>
        </is>
      </c>
      <c r="F3" s="5" t="inlineStr">
        <is>
          <t>N2</t>
        </is>
      </c>
      <c r="G3" s="5" t="inlineStr">
        <is>
          <t>Faces2</t>
        </is>
      </c>
      <c r="H3" s="5" t="inlineStr">
        <is>
          <t>Dado</t>
        </is>
      </c>
      <c r="I3" s="5" t="inlineStr">
        <is>
          <t>Ruido</t>
        </is>
      </c>
      <c r="J3" s="5" t="inlineStr">
        <is>
          <t>Alc. normal</t>
        </is>
      </c>
      <c r="K3" s="5" t="inlineStr">
        <is>
          <t>Alc. longo</t>
        </is>
      </c>
      <c r="L3" s="5" t="inlineStr">
        <is>
          <t>Pente</t>
        </is>
      </c>
      <c r="M3" s="5" t="inlineStr">
        <is>
          <t>Modos</t>
        </is>
      </c>
      <c r="N3" s="5" t="inlineStr">
        <is>
          <t>Silenciavel</t>
        </is>
      </c>
      <c r="O3" s="5" t="inlineStr">
        <is>
          <t>Municao</t>
        </is>
      </c>
      <c r="P3" s="5" t="inlineStr">
        <is>
          <t>Dano medio</t>
        </is>
      </c>
      <c r="Q3" s="5" t="inlineStr">
        <is>
          <t>P(acerto)</t>
        </is>
      </c>
      <c r="R3" s="5" t="inlineStr">
        <is>
          <t>DPR</t>
        </is>
      </c>
      <c r="S3" s="5" t="inlineStr">
        <is>
          <t>Tiros/alvo</t>
        </is>
      </c>
      <c r="T3" s="7" t="inlineStr">
        <is>
          <t>Raridade</t>
        </is>
      </c>
    </row>
    <row r="4">
      <c r="A4" s="8" t="inlineStr">
        <is>
          <t>TIER CIVIL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</row>
    <row r="5">
      <c r="A5" s="10" t="inlineStr">
        <is>
          <t>Civil</t>
        </is>
      </c>
      <c r="B5" s="10" t="inlineStr">
        <is>
          <t>Pistola leve</t>
        </is>
      </c>
      <c r="C5" s="10" t="inlineStr">
        <is>
          <t>Pistolas</t>
        </is>
      </c>
      <c r="D5" s="11" t="n">
        <v>1</v>
      </c>
      <c r="E5" s="11" t="n">
        <v>6</v>
      </c>
      <c r="F5" s="11" t="n"/>
      <c r="G5" s="11" t="n"/>
      <c r="H5" s="12">
        <f>D5&amp;"d"&amp;E5&amp;IF(F5="",""," + "&amp;F5&amp;"d"&amp;G5)</f>
        <v/>
      </c>
      <c r="I5" s="10" t="inlineStr">
        <is>
          <t>Medio</t>
        </is>
      </c>
      <c r="J5" s="11" t="n">
        <v>12</v>
      </c>
      <c r="K5" s="11" t="n">
        <v>36</v>
      </c>
      <c r="L5" s="11" t="n">
        <v>12</v>
      </c>
      <c r="M5" s="10" t="inlineStr">
        <is>
          <t>Unico</t>
        </is>
      </c>
      <c r="N5" s="13" t="inlineStr">
        <is>
          <t>Sim</t>
        </is>
      </c>
      <c r="O5" s="10" t="inlineStr">
        <is>
          <t>Leve</t>
        </is>
      </c>
      <c r="P5" s="14">
        <f>D5*(E5+1)/2+IF(F5="",0,F5*(G5+1)/2)</f>
        <v/>
      </c>
      <c r="Q5" s="15">
        <f>MIN(0.95,MAX(0.05,(21-(Parametros!$B$6-Parametros!$B$4))/20))</f>
        <v/>
      </c>
      <c r="R5" s="14">
        <f>Q5*(P5+Parametros!$B$5)+0.05*P5</f>
        <v/>
      </c>
      <c r="S5" s="14">
        <f>IF(OR(Q5&lt;=0,R5&lt;=0),"",(Parametros!$B$7/R5)/Q5)</f>
        <v/>
      </c>
      <c r="T5" s="13" t="inlineStr">
        <is>
          <t>Comum</t>
        </is>
      </c>
    </row>
    <row r="6">
      <c r="A6" s="10" t="inlineStr">
        <is>
          <t>Civil</t>
        </is>
      </c>
      <c r="B6" s="10" t="inlineStr">
        <is>
          <t>SMG</t>
        </is>
      </c>
      <c r="C6" s="10" t="inlineStr">
        <is>
          <t>Longas</t>
        </is>
      </c>
      <c r="D6" s="11" t="n">
        <v>1</v>
      </c>
      <c r="E6" s="11" t="n">
        <v>6</v>
      </c>
      <c r="F6" s="11" t="n"/>
      <c r="G6" s="11" t="n"/>
      <c r="H6" s="12">
        <f>D6&amp;"d"&amp;E6&amp;IF(F6="",""," + "&amp;F6&amp;"d"&amp;G6)</f>
        <v/>
      </c>
      <c r="I6" s="10" t="inlineStr">
        <is>
          <t>Medio</t>
        </is>
      </c>
      <c r="J6" s="11" t="n">
        <v>8</v>
      </c>
      <c r="K6" s="11" t="n">
        <v>24</v>
      </c>
      <c r="L6" s="11" t="n">
        <v>30</v>
      </c>
      <c r="M6" s="10" t="inlineStr">
        <is>
          <t>Unico</t>
        </is>
      </c>
      <c r="N6" s="13" t="inlineStr">
        <is>
          <t>Sim</t>
        </is>
      </c>
      <c r="O6" s="10" t="inlineStr">
        <is>
          <t>Leve</t>
        </is>
      </c>
      <c r="P6" s="14">
        <f>D6*(E6+1)/2+IF(F6="",0,F6*(G6+1)/2)</f>
        <v/>
      </c>
      <c r="Q6" s="15">
        <f>MIN(0.95,MAX(0.05,(21-(Parametros!$B$6-Parametros!$B$4))/20))</f>
        <v/>
      </c>
      <c r="R6" s="14">
        <f>Q6*(P6+Parametros!$B$5)+0.05*P6</f>
        <v/>
      </c>
      <c r="S6" s="14">
        <f>IF(OR(Q6&lt;=0,R6&lt;=0),"",(Parametros!$B$7/R6)/Q6)</f>
        <v/>
      </c>
      <c r="T6" s="13" t="inlineStr">
        <is>
          <t>Incomum</t>
        </is>
      </c>
    </row>
    <row r="7">
      <c r="A7" s="10" t="inlineStr">
        <is>
          <t>Civil</t>
        </is>
      </c>
      <c r="B7" s="10" t="inlineStr">
        <is>
          <t>Pistola pesada</t>
        </is>
      </c>
      <c r="C7" s="10" t="inlineStr">
        <is>
          <t>Pistolas</t>
        </is>
      </c>
      <c r="D7" s="11" t="n">
        <v>1</v>
      </c>
      <c r="E7" s="11" t="n">
        <v>8</v>
      </c>
      <c r="F7" s="11" t="n"/>
      <c r="G7" s="11" t="n"/>
      <c r="H7" s="12">
        <f>D7&amp;"d"&amp;E7&amp;IF(F7="",""," + "&amp;F7&amp;"d"&amp;G7)</f>
        <v/>
      </c>
      <c r="I7" s="10" t="inlineStr">
        <is>
          <t>Medio</t>
        </is>
      </c>
      <c r="J7" s="11" t="n">
        <v>10</v>
      </c>
      <c r="K7" s="11" t="n">
        <v>30</v>
      </c>
      <c r="L7" s="11" t="n">
        <v>8</v>
      </c>
      <c r="M7" s="10" t="inlineStr">
        <is>
          <t>Unico</t>
        </is>
      </c>
      <c r="N7" s="13" t="inlineStr">
        <is>
          <t>Sim</t>
        </is>
      </c>
      <c r="O7" s="10" t="inlineStr">
        <is>
          <t>Pesado</t>
        </is>
      </c>
      <c r="P7" s="14">
        <f>D7*(E7+1)/2+IF(F7="",0,F7*(G7+1)/2)</f>
        <v/>
      </c>
      <c r="Q7" s="15">
        <f>MIN(0.95,MAX(0.05,(21-(Parametros!$B$6-Parametros!$B$4))/20))</f>
        <v/>
      </c>
      <c r="R7" s="14">
        <f>Q7*(P7+Parametros!$B$5)+0.05*P7</f>
        <v/>
      </c>
      <c r="S7" s="14">
        <f>IF(OR(Q7&lt;=0,R7&lt;=0),"",(Parametros!$B$7/R7)/Q7)</f>
        <v/>
      </c>
      <c r="T7" s="13" t="inlineStr">
        <is>
          <t>Incomum</t>
        </is>
      </c>
    </row>
    <row r="8">
      <c r="A8" s="10" t="inlineStr">
        <is>
          <t>Civil</t>
        </is>
      </c>
      <c r="B8" s="10" t="inlineStr">
        <is>
          <t>Carabina</t>
        </is>
      </c>
      <c r="C8" s="10" t="inlineStr">
        <is>
          <t>Longas</t>
        </is>
      </c>
      <c r="D8" s="11" t="n">
        <v>1</v>
      </c>
      <c r="E8" s="11" t="n">
        <v>8</v>
      </c>
      <c r="F8" s="11" t="n"/>
      <c r="G8" s="11" t="n"/>
      <c r="H8" s="12">
        <f>D8&amp;"d"&amp;E8&amp;IF(F8="",""," + "&amp;F8&amp;"d"&amp;G8)</f>
        <v/>
      </c>
      <c r="I8" s="10" t="inlineStr">
        <is>
          <t>Alto</t>
        </is>
      </c>
      <c r="J8" s="11" t="n">
        <v>20</v>
      </c>
      <c r="K8" s="11" t="n">
        <v>60</v>
      </c>
      <c r="L8" s="11" t="n">
        <v>20</v>
      </c>
      <c r="M8" s="10" t="inlineStr">
        <is>
          <t>Unico, Rajada</t>
        </is>
      </c>
      <c r="N8" s="13" t="inlineStr">
        <is>
          <t>Sim</t>
        </is>
      </c>
      <c r="O8" s="10" t="inlineStr">
        <is>
          <t>Rifle</t>
        </is>
      </c>
      <c r="P8" s="14">
        <f>D8*(E8+1)/2+IF(F8="",0,F8*(G8+1)/2)</f>
        <v/>
      </c>
      <c r="Q8" s="15">
        <f>MIN(0.95,MAX(0.05,(21-(Parametros!$B$6-Parametros!$B$4))/20))</f>
        <v/>
      </c>
      <c r="R8" s="14">
        <f>Q8*(P8+Parametros!$B$5)+0.05*P8</f>
        <v/>
      </c>
      <c r="S8" s="14">
        <f>IF(OR(Q8&lt;=0,R8&lt;=0),"",(Parametros!$B$7/R8)/Q8)</f>
        <v/>
      </c>
      <c r="T8" s="13" t="inlineStr">
        <is>
          <t>Incomum</t>
        </is>
      </c>
    </row>
    <row r="9">
      <c r="A9" s="10" t="inlineStr">
        <is>
          <t>Civil</t>
        </is>
      </c>
      <c r="B9" s="10" t="inlineStr">
        <is>
          <t>Revolver</t>
        </is>
      </c>
      <c r="C9" s="10" t="inlineStr">
        <is>
          <t>Pistolas</t>
        </is>
      </c>
      <c r="D9" s="11" t="n">
        <v>1</v>
      </c>
      <c r="E9" s="11" t="n">
        <v>10</v>
      </c>
      <c r="F9" s="11" t="n"/>
      <c r="G9" s="11" t="n"/>
      <c r="H9" s="12">
        <f>D9&amp;"d"&amp;E9&amp;IF(F9="",""," + "&amp;F9&amp;"d"&amp;G9)</f>
        <v/>
      </c>
      <c r="I9" s="10" t="inlineStr">
        <is>
          <t>Alto</t>
        </is>
      </c>
      <c r="J9" s="11" t="n">
        <v>8</v>
      </c>
      <c r="K9" s="11" t="n">
        <v>24</v>
      </c>
      <c r="L9" s="11" t="n">
        <v>6</v>
      </c>
      <c r="M9" s="10" t="inlineStr">
        <is>
          <t>Unico</t>
        </is>
      </c>
      <c r="N9" s="16" t="inlineStr">
        <is>
          <t>NAO</t>
        </is>
      </c>
      <c r="O9" s="10" t="inlineStr">
        <is>
          <t>Pesado</t>
        </is>
      </c>
      <c r="P9" s="14">
        <f>D9*(E9+1)/2+IF(F9="",0,F9*(G9+1)/2)</f>
        <v/>
      </c>
      <c r="Q9" s="15">
        <f>MIN(0.95,MAX(0.05,(21-(Parametros!$B$6-Parametros!$B$4))/20))</f>
        <v/>
      </c>
      <c r="R9" s="14">
        <f>Q9*(P9+Parametros!$B$5)+0.05*P9</f>
        <v/>
      </c>
      <c r="S9" s="14">
        <f>IF(OR(Q9&lt;=0,R9&lt;=0),"",(Parametros!$B$7/R9)/Q9)</f>
        <v/>
      </c>
      <c r="T9" s="13" t="inlineStr">
        <is>
          <t>Comum</t>
        </is>
      </c>
    </row>
    <row r="10">
      <c r="A10" s="10" t="inlineStr">
        <is>
          <t>Civil</t>
        </is>
      </c>
      <c r="B10" s="10" t="inlineStr">
        <is>
          <t>Rifle de caca</t>
        </is>
      </c>
      <c r="C10" s="10" t="inlineStr">
        <is>
          <t>Longas</t>
        </is>
      </c>
      <c r="D10" s="11" t="n">
        <v>1</v>
      </c>
      <c r="E10" s="11" t="n">
        <v>10</v>
      </c>
      <c r="F10" s="11" t="n"/>
      <c r="G10" s="11" t="n"/>
      <c r="H10" s="12">
        <f>D10&amp;"d"&amp;E10&amp;IF(F10="",""," + "&amp;F10&amp;"d"&amp;G10)</f>
        <v/>
      </c>
      <c r="I10" s="10" t="inlineStr">
        <is>
          <t>Alto</t>
        </is>
      </c>
      <c r="J10" s="11" t="n">
        <v>24</v>
      </c>
      <c r="K10" s="11" t="n">
        <v>72</v>
      </c>
      <c r="L10" s="11" t="n">
        <v>5</v>
      </c>
      <c r="M10" s="10" t="inlineStr">
        <is>
          <t>Unico</t>
        </is>
      </c>
      <c r="N10" s="13" t="inlineStr">
        <is>
          <t>Sim</t>
        </is>
      </c>
      <c r="O10" s="10" t="inlineStr">
        <is>
          <t>Rifle</t>
        </is>
      </c>
      <c r="P10" s="14">
        <f>D10*(E10+1)/2+IF(F10="",0,F10*(G10+1)/2)</f>
        <v/>
      </c>
      <c r="Q10" s="15">
        <f>MIN(0.95,MAX(0.05,(21-(Parametros!$B$6-Parametros!$B$4))/20))</f>
        <v/>
      </c>
      <c r="R10" s="14">
        <f>Q10*(P10+Parametros!$B$5)+0.05*P10</f>
        <v/>
      </c>
      <c r="S10" s="14">
        <f>IF(OR(Q10&lt;=0,R10&lt;=0),"",(Parametros!$B$7/R10)/Q10)</f>
        <v/>
      </c>
      <c r="T10" s="13" t="inlineStr">
        <is>
          <t>Incomum</t>
        </is>
      </c>
    </row>
    <row r="11">
      <c r="A11" s="10" t="inlineStr">
        <is>
          <t>Civil</t>
        </is>
      </c>
      <c r="B11" s="10" t="inlineStr">
        <is>
          <t>Rifle de precisao</t>
        </is>
      </c>
      <c r="C11" s="10" t="inlineStr">
        <is>
          <t>Longas</t>
        </is>
      </c>
      <c r="D11" s="11" t="n">
        <v>1</v>
      </c>
      <c r="E11" s="11" t="n">
        <v>12</v>
      </c>
      <c r="F11" s="11" t="n"/>
      <c r="G11" s="11" t="n"/>
      <c r="H11" s="12">
        <f>D11&amp;"d"&amp;E11&amp;IF(F11="",""," + "&amp;F11&amp;"d"&amp;G11)</f>
        <v/>
      </c>
      <c r="I11" s="10" t="inlineStr">
        <is>
          <t>Alto</t>
        </is>
      </c>
      <c r="J11" s="11" t="n">
        <v>40</v>
      </c>
      <c r="K11" s="11" t="n">
        <v>120</v>
      </c>
      <c r="L11" s="11" t="n">
        <v>5</v>
      </c>
      <c r="M11" s="10" t="inlineStr">
        <is>
          <t>Unico</t>
        </is>
      </c>
      <c r="N11" s="13" t="inlineStr">
        <is>
          <t>Sim</t>
        </is>
      </c>
      <c r="O11" s="10" t="inlineStr">
        <is>
          <t>Rifle</t>
        </is>
      </c>
      <c r="P11" s="14">
        <f>D11*(E11+1)/2+IF(F11="",0,F11*(G11+1)/2)</f>
        <v/>
      </c>
      <c r="Q11" s="15">
        <f>MIN(0.95,MAX(0.05,(21-(Parametros!$B$6-Parametros!$B$4))/20))</f>
        <v/>
      </c>
      <c r="R11" s="14">
        <f>Q11*(P11+Parametros!$B$5)+0.05*P11</f>
        <v/>
      </c>
      <c r="S11" s="14">
        <f>IF(OR(Q11&lt;=0,R11&lt;=0),"",(Parametros!$B$7/R11)/Q11)</f>
        <v/>
      </c>
      <c r="T11" s="13" t="inlineStr">
        <is>
          <t>Raro</t>
        </is>
      </c>
    </row>
    <row r="12">
      <c r="A12" s="10" t="inlineStr">
        <is>
          <t>Civil</t>
        </is>
      </c>
      <c r="B12" s="10" t="inlineStr">
        <is>
          <t>Espingarda</t>
        </is>
      </c>
      <c r="C12" s="10" t="inlineStr">
        <is>
          <t>Espingardas</t>
        </is>
      </c>
      <c r="D12" s="11" t="n">
        <v>2</v>
      </c>
      <c r="E12" s="11" t="n">
        <v>6</v>
      </c>
      <c r="F12" s="11" t="n"/>
      <c r="G12" s="11" t="n"/>
      <c r="H12" s="12">
        <f>D12&amp;"d"&amp;E12&amp;IF(F12="",""," + "&amp;F12&amp;"d"&amp;G12)</f>
        <v/>
      </c>
      <c r="I12" s="10" t="inlineStr">
        <is>
          <t>Alto</t>
        </is>
      </c>
      <c r="J12" s="11" t="n">
        <v>4</v>
      </c>
      <c r="K12" s="11" t="n">
        <v>12</v>
      </c>
      <c r="L12" s="11" t="n">
        <v>6</v>
      </c>
      <c r="M12" s="10" t="inlineStr">
        <is>
          <t>Unico</t>
        </is>
      </c>
      <c r="N12" s="16" t="inlineStr">
        <is>
          <t>NAO</t>
        </is>
      </c>
      <c r="O12" s="10" t="inlineStr">
        <is>
          <t>Cartucho</t>
        </is>
      </c>
      <c r="P12" s="14">
        <f>D12*(E12+1)/2+IF(F12="",0,F12*(G12+1)/2)</f>
        <v/>
      </c>
      <c r="Q12" s="15">
        <f>MIN(0.95,MAX(0.05,(21-(Parametros!$B$6-Parametros!$B$4))/20))</f>
        <v/>
      </c>
      <c r="R12" s="14">
        <f>Q12*(P12+Parametros!$B$5)+0.05*P12</f>
        <v/>
      </c>
      <c r="S12" s="14">
        <f>IF(OR(Q12&lt;=0,R12&lt;=0),"",(Parametros!$B$7/R12)/Q12)</f>
        <v/>
      </c>
      <c r="T12" s="13" t="inlineStr">
        <is>
          <t>Incomum</t>
        </is>
      </c>
    </row>
    <row r="13">
      <c r="A13" s="8" t="inlineStr">
        <is>
          <t>TIER MILITAR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</row>
    <row r="14">
      <c r="A14" s="10" t="inlineStr">
        <is>
          <t>Militar</t>
        </is>
      </c>
      <c r="B14" s="10" t="inlineStr">
        <is>
          <t>Metralhadora</t>
        </is>
      </c>
      <c r="C14" s="10" t="inlineStr">
        <is>
          <t>Longas</t>
        </is>
      </c>
      <c r="D14" s="11" t="n">
        <v>1</v>
      </c>
      <c r="E14" s="11" t="n">
        <v>8</v>
      </c>
      <c r="F14" s="11" t="n"/>
      <c r="G14" s="11" t="n"/>
      <c r="H14" s="12">
        <f>D14&amp;"d"&amp;E14&amp;IF(F14="",""," + "&amp;F14&amp;"d"&amp;G14)</f>
        <v/>
      </c>
      <c r="I14" s="10" t="inlineStr">
        <is>
          <t>Alto</t>
        </is>
      </c>
      <c r="J14" s="11" t="n">
        <v>24</v>
      </c>
      <c r="K14" s="11" t="n">
        <v>72</v>
      </c>
      <c r="L14" s="11" t="n">
        <v>50</v>
      </c>
      <c r="M14" s="10" t="inlineStr">
        <is>
          <t>Automatico (habil. de Classe)</t>
        </is>
      </c>
      <c r="N14" s="16" t="inlineStr">
        <is>
          <t>NAO</t>
        </is>
      </c>
      <c r="O14" s="10" t="inlineStr">
        <is>
          <t>Rifle</t>
        </is>
      </c>
      <c r="P14" s="14">
        <f>D14*(E14+1)/2+IF(F14="",0,F14*(G14+1)/2)</f>
        <v/>
      </c>
      <c r="Q14" s="15">
        <f>MIN(0.95,MAX(0.05,(21-(Parametros!$B$6-Parametros!$B$4))/20))</f>
        <v/>
      </c>
      <c r="R14" s="14">
        <f>Q14*(P14+Parametros!$B$5)+0.05*P14</f>
        <v/>
      </c>
      <c r="S14" s="14">
        <f>IF(OR(Q14&lt;=0,R14&lt;=0),"",(Parametros!$B$7/R14)/Q14)</f>
        <v/>
      </c>
      <c r="T14" s="13" t="inlineStr">
        <is>
          <t>Raro</t>
        </is>
      </c>
    </row>
    <row r="15">
      <c r="A15" s="10" t="inlineStr">
        <is>
          <t>Militar</t>
        </is>
      </c>
      <c r="B15" s="10" t="inlineStr">
        <is>
          <t>Carabina M-24 'Regua'</t>
        </is>
      </c>
      <c r="C15" s="10" t="inlineStr">
        <is>
          <t>Longas</t>
        </is>
      </c>
      <c r="D15" s="11" t="n">
        <v>1</v>
      </c>
      <c r="E15" s="11" t="n">
        <v>10</v>
      </c>
      <c r="F15" s="11" t="n"/>
      <c r="G15" s="11" t="n"/>
      <c r="H15" s="12">
        <f>D15&amp;"d"&amp;E15&amp;IF(F15="",""," + "&amp;F15&amp;"d"&amp;G15)</f>
        <v/>
      </c>
      <c r="I15" s="10" t="inlineStr">
        <is>
          <t>Alto</t>
        </is>
      </c>
      <c r="J15" s="11" t="n">
        <v>24</v>
      </c>
      <c r="K15" s="11" t="n">
        <v>72</v>
      </c>
      <c r="L15" s="11" t="n">
        <v>20</v>
      </c>
      <c r="M15" s="10" t="inlineStr">
        <is>
          <t>Unico, Rajada</t>
        </is>
      </c>
      <c r="N15" s="13" t="inlineStr">
        <is>
          <t>Sim</t>
        </is>
      </c>
      <c r="O15" s="10" t="inlineStr">
        <is>
          <t>Rifle</t>
        </is>
      </c>
      <c r="P15" s="14">
        <f>D15*(E15+1)/2+IF(F15="",0,F15*(G15+1)/2)</f>
        <v/>
      </c>
      <c r="Q15" s="15">
        <f>MIN(0.95,MAX(0.05,(21-(Parametros!$B$6-Parametros!$B$4))/20))</f>
        <v/>
      </c>
      <c r="R15" s="14">
        <f>Q15*(P15+Parametros!$B$5)+0.05*P15</f>
        <v/>
      </c>
      <c r="S15" s="14">
        <f>IF(OR(Q15&lt;=0,R15&lt;=0),"",(Parametros!$B$7/R15)/Q15)</f>
        <v/>
      </c>
      <c r="T15" s="13" t="inlineStr">
        <is>
          <t>Incomum</t>
        </is>
      </c>
    </row>
    <row r="16">
      <c r="A16" s="10" t="inlineStr">
        <is>
          <t>Militar</t>
        </is>
      </c>
      <c r="B16" s="10" t="inlineStr">
        <is>
          <t>SMG M-11 'Costura'</t>
        </is>
      </c>
      <c r="C16" s="10" t="inlineStr">
        <is>
          <t>Longas</t>
        </is>
      </c>
      <c r="D16" s="11" t="n">
        <v>1</v>
      </c>
      <c r="E16" s="11" t="n">
        <v>6</v>
      </c>
      <c r="F16" s="11" t="n"/>
      <c r="G16" s="11" t="n"/>
      <c r="H16" s="12">
        <f>D16&amp;"d"&amp;E16&amp;IF(F16="",""," + "&amp;F16&amp;"d"&amp;G16)</f>
        <v/>
      </c>
      <c r="I16" s="10" t="inlineStr">
        <is>
          <t>Medio</t>
        </is>
      </c>
      <c r="J16" s="11" t="n">
        <v>10</v>
      </c>
      <c r="K16" s="11" t="n">
        <v>30</v>
      </c>
      <c r="L16" s="11" t="n">
        <v>32</v>
      </c>
      <c r="M16" s="10" t="inlineStr">
        <is>
          <t>Unico, Rajada (-1)</t>
        </is>
      </c>
      <c r="N16" s="13" t="inlineStr">
        <is>
          <t>Sim</t>
        </is>
      </c>
      <c r="O16" s="10" t="inlineStr">
        <is>
          <t>Leve</t>
        </is>
      </c>
      <c r="P16" s="14">
        <f>D16*(E16+1)/2+IF(F16="",0,F16*(G16+1)/2)</f>
        <v/>
      </c>
      <c r="Q16" s="15">
        <f>MIN(0.95,MAX(0.05,(21-(Parametros!$B$6-Parametros!$B$4))/20))</f>
        <v/>
      </c>
      <c r="R16" s="14">
        <f>Q16*(P16+Parametros!$B$5)+0.05*P16</f>
        <v/>
      </c>
      <c r="S16" s="14">
        <f>IF(OR(Q16&lt;=0,R16&lt;=0),"",(Parametros!$B$7/R16)/Q16)</f>
        <v/>
      </c>
      <c r="T16" s="13" t="inlineStr">
        <is>
          <t>Incomum</t>
        </is>
      </c>
    </row>
    <row r="17">
      <c r="A17" s="10" t="inlineStr">
        <is>
          <t>Militar</t>
        </is>
      </c>
      <c r="B17" s="10" t="inlineStr">
        <is>
          <t>Espingarda 'Portaria'</t>
        </is>
      </c>
      <c r="C17" s="10" t="inlineStr">
        <is>
          <t>Espingardas</t>
        </is>
      </c>
      <c r="D17" s="11" t="n">
        <v>1</v>
      </c>
      <c r="E17" s="11" t="n">
        <v>10</v>
      </c>
      <c r="F17" s="11" t="n"/>
      <c r="G17" s="11" t="n"/>
      <c r="H17" s="12">
        <f>D17&amp;"d"&amp;E17&amp;IF(F17="",""," + "&amp;F17&amp;"d"&amp;G17)</f>
        <v/>
      </c>
      <c r="I17" s="10" t="inlineStr">
        <is>
          <t>Alto</t>
        </is>
      </c>
      <c r="J17" s="11" t="n">
        <v>6</v>
      </c>
      <c r="K17" s="11" t="n">
        <v>18</v>
      </c>
      <c r="L17" s="11" t="n">
        <v>8</v>
      </c>
      <c r="M17" s="10" t="inlineStr">
        <is>
          <t>Unico, Espalhamento (2 hex)</t>
        </is>
      </c>
      <c r="N17" s="16" t="inlineStr">
        <is>
          <t>NAO</t>
        </is>
      </c>
      <c r="O17" s="10" t="inlineStr">
        <is>
          <t>Cartucho</t>
        </is>
      </c>
      <c r="P17" s="14">
        <f>D17*(E17+1)/2+IF(F17="",0,F17*(G17+1)/2)</f>
        <v/>
      </c>
      <c r="Q17" s="15">
        <f>MIN(0.95,MAX(0.05,(21-(Parametros!$B$6-Parametros!$B$4))/20))</f>
        <v/>
      </c>
      <c r="R17" s="14">
        <f>Q17*(P17+Parametros!$B$5)+0.05*P17</f>
        <v/>
      </c>
      <c r="S17" s="14">
        <f>IF(OR(Q17&lt;=0,R17&lt;=0),"",(Parametros!$B$7/R17)/Q17)</f>
        <v/>
      </c>
      <c r="T17" s="13" t="inlineStr">
        <is>
          <t>Incomum</t>
        </is>
      </c>
    </row>
    <row r="18">
      <c r="A18" s="8" t="inlineStr">
        <is>
          <t>TIER CORPORATIVA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>
      <c r="A19" s="10" t="inlineStr">
        <is>
          <t>Corporativa</t>
        </is>
      </c>
      <c r="B19" s="10" t="inlineStr">
        <is>
          <t>Pistola 'Fiador'</t>
        </is>
      </c>
      <c r="C19" s="10" t="inlineStr">
        <is>
          <t>Pistolas</t>
        </is>
      </c>
      <c r="D19" s="11" t="n">
        <v>1</v>
      </c>
      <c r="E19" s="11" t="n">
        <v>10</v>
      </c>
      <c r="F19" s="11" t="n"/>
      <c r="G19" s="11" t="n"/>
      <c r="H19" s="12">
        <f>D19&amp;"d"&amp;E19&amp;IF(F19="",""," + "&amp;F19&amp;"d"&amp;G19)</f>
        <v/>
      </c>
      <c r="I19" s="10" t="inlineStr">
        <is>
          <t>Medio</t>
        </is>
      </c>
      <c r="J19" s="11" t="n">
        <v>12</v>
      </c>
      <c r="K19" s="11" t="n">
        <v>36</v>
      </c>
      <c r="L19" s="11" t="n">
        <v>10</v>
      </c>
      <c r="M19" s="10" t="inlineStr">
        <is>
          <t>Unico; DRM + Telemetria</t>
        </is>
      </c>
      <c r="N19" s="13" t="inlineStr">
        <is>
          <t>Sim</t>
        </is>
      </c>
      <c r="O19" s="10" t="inlineStr">
        <is>
          <t>Pesado</t>
        </is>
      </c>
      <c r="P19" s="14">
        <f>D19*(E19+1)/2+IF(F19="",0,F19*(G19+1)/2)</f>
        <v/>
      </c>
      <c r="Q19" s="15">
        <f>MIN(0.95,MAX(0.05,(21-(Parametros!$B$6-Parametros!$B$4))/20))</f>
        <v/>
      </c>
      <c r="R19" s="14">
        <f>Q19*(P19+Parametros!$B$5)+0.05*P19</f>
        <v/>
      </c>
      <c r="S19" s="14">
        <f>IF(OR(Q19&lt;=0,R19&lt;=0),"",(Parametros!$B$7/R19)/Q19)</f>
        <v/>
      </c>
      <c r="T19" s="13" t="inlineStr">
        <is>
          <t>Raro</t>
        </is>
      </c>
    </row>
    <row r="20">
      <c r="A20" s="10" t="inlineStr">
        <is>
          <t>Corporativa</t>
        </is>
      </c>
      <c r="B20" s="10" t="inlineStr">
        <is>
          <t>Fuzil 'Testemunha'</t>
        </is>
      </c>
      <c r="C20" s="10" t="inlineStr">
        <is>
          <t>Longas</t>
        </is>
      </c>
      <c r="D20" s="11" t="n">
        <v>1</v>
      </c>
      <c r="E20" s="11" t="n">
        <v>10</v>
      </c>
      <c r="F20" s="11" t="n"/>
      <c r="G20" s="11" t="n"/>
      <c r="H20" s="12">
        <f>D20&amp;"d"&amp;E20&amp;IF(F20="",""," + "&amp;F20&amp;"d"&amp;G20)</f>
        <v/>
      </c>
      <c r="I20" s="10" t="inlineStr">
        <is>
          <t>Alto</t>
        </is>
      </c>
      <c r="J20" s="11" t="n">
        <v>30</v>
      </c>
      <c r="K20" s="11" t="n">
        <v>90</v>
      </c>
      <c r="L20" s="11" t="n">
        <v>10</v>
      </c>
      <c r="M20" s="10" t="inlineStr">
        <is>
          <t>Unico; Marcacao</t>
        </is>
      </c>
      <c r="N20" s="13" t="inlineStr">
        <is>
          <t>Sim</t>
        </is>
      </c>
      <c r="O20" s="10" t="inlineStr">
        <is>
          <t>Rifle</t>
        </is>
      </c>
      <c r="P20" s="14">
        <f>D20*(E20+1)/2+IF(F20="",0,F20*(G20+1)/2)</f>
        <v/>
      </c>
      <c r="Q20" s="15">
        <f>MIN(0.95,MAX(0.05,(21-(Parametros!$B$6-Parametros!$B$4))/20))</f>
        <v/>
      </c>
      <c r="R20" s="14">
        <f>Q20*(P20+Parametros!$B$5)+0.05*P20</f>
        <v/>
      </c>
      <c r="S20" s="14">
        <f>IF(OR(Q20&lt;=0,R20&lt;=0),"",(Parametros!$B$7/R20)/Q20)</f>
        <v/>
      </c>
      <c r="T20" s="13" t="inlineStr">
        <is>
          <t>Epico</t>
        </is>
      </c>
    </row>
    <row r="21">
      <c r="A21" s="10" t="inlineStr">
        <is>
          <t>Corporativa</t>
        </is>
      </c>
      <c r="B21" s="10" t="inlineStr">
        <is>
          <t>Lanca-agulhas 'Costureira'</t>
        </is>
      </c>
      <c r="C21" s="10" t="inlineStr">
        <is>
          <t>Longas</t>
        </is>
      </c>
      <c r="D21" s="11" t="n">
        <v>1</v>
      </c>
      <c r="E21" s="11" t="n">
        <v>6</v>
      </c>
      <c r="F21" s="11" t="n">
        <v>1</v>
      </c>
      <c r="G21" s="11" t="n">
        <v>6</v>
      </c>
      <c r="H21" s="12">
        <f>D21&amp;"d"&amp;E21&amp;IF(F21="",""," + "&amp;F21&amp;"d"&amp;G21)</f>
        <v/>
      </c>
      <c r="I21" s="10" t="inlineStr">
        <is>
          <t>Baixo</t>
        </is>
      </c>
      <c r="J21" s="11" t="n">
        <v>12</v>
      </c>
      <c r="K21" s="11" t="n">
        <v>36</v>
      </c>
      <c r="L21" s="11" t="n">
        <v>12</v>
      </c>
      <c r="M21" s="10" t="inlineStr">
        <is>
          <t>Unico; Envenenado</t>
        </is>
      </c>
      <c r="N21" s="13" t="inlineStr">
        <is>
          <t>Sim</t>
        </is>
      </c>
      <c r="O21" s="10" t="inlineStr">
        <is>
          <t>Exotica</t>
        </is>
      </c>
      <c r="P21" s="14">
        <f>D21*(E21+1)/2+IF(F21="",0,F21*(G21+1)/2)</f>
        <v/>
      </c>
      <c r="Q21" s="15">
        <f>MIN(0.95,MAX(0.05,(21-(Parametros!$B$6-Parametros!$B$4))/20))</f>
        <v/>
      </c>
      <c r="R21" s="14">
        <f>Q21*(P21+Parametros!$B$5)+0.05*P21</f>
        <v/>
      </c>
      <c r="S21" s="14">
        <f>IF(OR(Q21&lt;=0,R21&lt;=0),"",(Parametros!$B$7/R21)/Q21)</f>
        <v/>
      </c>
      <c r="T21" s="13" t="inlineStr">
        <is>
          <t>Raro</t>
        </is>
      </c>
    </row>
    <row r="22">
      <c r="A22" s="10" t="inlineStr">
        <is>
          <t>Corporativa</t>
        </is>
      </c>
      <c r="B22" s="10" t="inlineStr">
        <is>
          <t>Espingarda 'Cordao'</t>
        </is>
      </c>
      <c r="C22" s="10" t="inlineStr">
        <is>
          <t>Espingardas</t>
        </is>
      </c>
      <c r="D22" s="11" t="n">
        <v>1</v>
      </c>
      <c r="E22" s="11" t="n">
        <v>8</v>
      </c>
      <c r="F22" s="11" t="n"/>
      <c r="G22" s="11" t="n"/>
      <c r="H22" s="12">
        <f>D22&amp;"d"&amp;E22&amp;IF(F22="",""," + "&amp;F22&amp;"d"&amp;G22)</f>
        <v/>
      </c>
      <c r="I22" s="10" t="inlineStr">
        <is>
          <t>Alto</t>
        </is>
      </c>
      <c r="J22" s="11" t="n">
        <v>6</v>
      </c>
      <c r="K22" s="11" t="n">
        <v>18</v>
      </c>
      <c r="L22" s="11" t="n">
        <v>6</v>
      </c>
      <c r="M22" s="10" t="inlineStr">
        <is>
          <t>Unico; cartucho de contencao</t>
        </is>
      </c>
      <c r="N22" s="16" t="inlineStr">
        <is>
          <t>NAO</t>
        </is>
      </c>
      <c r="O22" s="10" t="inlineStr">
        <is>
          <t>Cartucho</t>
        </is>
      </c>
      <c r="P22" s="14">
        <f>D22*(E22+1)/2+IF(F22="",0,F22*(G22+1)/2)</f>
        <v/>
      </c>
      <c r="Q22" s="15">
        <f>MIN(0.95,MAX(0.05,(21-(Parametros!$B$6-Parametros!$B$4))/20))</f>
        <v/>
      </c>
      <c r="R22" s="14">
        <f>Q22*(P22+Parametros!$B$5)+0.05*P22</f>
        <v/>
      </c>
      <c r="S22" s="14">
        <f>IF(OR(Q22&lt;=0,R22&lt;=0),"",(Parametros!$B$7/R22)/Q22)</f>
        <v/>
      </c>
      <c r="T22" s="13" t="inlineStr">
        <is>
          <t>Raro</t>
        </is>
      </c>
    </row>
    <row r="23">
      <c r="A23" s="10" t="inlineStr">
        <is>
          <t>Corporativa</t>
        </is>
      </c>
      <c r="B23" s="10" t="inlineStr">
        <is>
          <t>Emissor EMP 'Apagao'</t>
        </is>
      </c>
      <c r="C23" s="10" t="inlineStr">
        <is>
          <t>Dispositivos</t>
        </is>
      </c>
      <c r="D23" s="11" t="n">
        <v>1</v>
      </c>
      <c r="E23" s="11" t="n">
        <v>8</v>
      </c>
      <c r="F23" s="11" t="n"/>
      <c r="G23" s="11" t="n"/>
      <c r="H23" s="12">
        <f>D23&amp;"d"&amp;E23&amp;IF(F23="",""," + "&amp;F23&amp;"d"&amp;G23)</f>
        <v/>
      </c>
      <c r="I23" s="10" t="inlineStr">
        <is>
          <t>Baixo</t>
        </is>
      </c>
      <c r="J23" s="11" t="n">
        <v>3</v>
      </c>
      <c r="K23" s="11" t="n">
        <v>3</v>
      </c>
      <c r="L23" s="11" t="n">
        <v>3</v>
      </c>
      <c r="M23" s="10" t="inlineStr">
        <is>
          <t>Cone 3 hex; Carga (3)</t>
        </is>
      </c>
      <c r="N23" s="13" t="inlineStr">
        <is>
          <t>n/a</t>
        </is>
      </c>
      <c r="O23" s="10" t="inlineStr">
        <is>
          <t>Carga</t>
        </is>
      </c>
      <c r="P23" s="14">
        <f>D23*(E23+1)/2+IF(F23="",0,F23*(G23+1)/2)</f>
        <v/>
      </c>
      <c r="Q23" s="15">
        <f>MIN(0.95,MAX(0.05,(21-(Parametros!$B$6-Parametros!$B$4))/20))</f>
        <v/>
      </c>
      <c r="R23" s="14">
        <f>Q23*(P23+Parametros!$B$5)+0.05*P23</f>
        <v/>
      </c>
      <c r="S23" s="14">
        <f>IF(OR(Q23&lt;=0,R23&lt;=0),"",(Parametros!$B$7/R23)/Q23)</f>
        <v/>
      </c>
      <c r="T23" s="13" t="inlineStr">
        <is>
          <t>Raro</t>
        </is>
      </c>
    </row>
    <row r="24">
      <c r="A24" s="8" t="inlineStr">
        <is>
          <t>TIER PROTOTIPO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>
      <c r="A25" s="10" t="inlineStr">
        <is>
          <t>Prototipo</t>
        </is>
      </c>
      <c r="B25" s="10" t="inlineStr">
        <is>
          <t>'Vigilia' eletromagnetico</t>
        </is>
      </c>
      <c r="C25" s="10" t="inlineStr">
        <is>
          <t>Longas</t>
        </is>
      </c>
      <c r="D25" s="11" t="n">
        <v>1</v>
      </c>
      <c r="E25" s="11" t="n">
        <v>10</v>
      </c>
      <c r="F25" s="11" t="n"/>
      <c r="G25" s="11" t="n"/>
      <c r="H25" s="12">
        <f>D25&amp;"d"&amp;E25&amp;IF(F25="",""," + "&amp;F25&amp;"d"&amp;G25)</f>
        <v/>
      </c>
      <c r="I25" s="10" t="inlineStr">
        <is>
          <t>Baixo</t>
        </is>
      </c>
      <c r="J25" s="11" t="n">
        <v>24</v>
      </c>
      <c r="K25" s="11" t="n">
        <v>72</v>
      </c>
      <c r="L25" s="11" t="n">
        <v>0</v>
      </c>
      <c r="M25" s="10" t="inlineStr">
        <is>
          <t>Unico; Trilha de Calor (5)</t>
        </is>
      </c>
      <c r="N25" s="13" t="inlineStr">
        <is>
          <t>n/a</t>
        </is>
      </c>
      <c r="O25" s="10" t="inlineStr">
        <is>
          <t>Sucata ferrosa</t>
        </is>
      </c>
      <c r="P25" s="14">
        <f>D25*(E25+1)/2+IF(F25="",0,F25*(G25+1)/2)</f>
        <v/>
      </c>
      <c r="Q25" s="15">
        <f>MIN(0.95,MAX(0.05,(21-(Parametros!$B$6-Parametros!$B$4))/20))</f>
        <v/>
      </c>
      <c r="R25" s="14">
        <f>Q25*(P25+Parametros!$B$5)+0.05*P25</f>
        <v/>
      </c>
      <c r="S25" s="14">
        <f>IF(OR(Q25&lt;=0,R25&lt;=0),"",(Parametros!$B$7/R25)/Q25)</f>
        <v/>
      </c>
      <c r="T25" s="13" t="inlineStr">
        <is>
          <t>Epico</t>
        </is>
      </c>
    </row>
    <row r="26">
      <c r="A26" s="10" t="inlineStr">
        <is>
          <t>Prototipo</t>
        </is>
      </c>
      <c r="B26" s="10" t="inlineStr">
        <is>
          <t>'Ariete' antimaterial 20mm</t>
        </is>
      </c>
      <c r="C26" s="10" t="inlineStr">
        <is>
          <t>Longas</t>
        </is>
      </c>
      <c r="D26" s="11" t="n">
        <v>1</v>
      </c>
      <c r="E26" s="11" t="n">
        <v>12</v>
      </c>
      <c r="F26" s="11" t="n"/>
      <c r="G26" s="11" t="n"/>
      <c r="H26" s="12">
        <f>D26&amp;"d"&amp;E26&amp;IF(F26="",""," + "&amp;F26&amp;"d"&amp;G26)</f>
        <v/>
      </c>
      <c r="I26" s="10" t="inlineStr">
        <is>
          <t>Alto</t>
        </is>
      </c>
      <c r="J26" s="11" t="n">
        <v>40</v>
      </c>
      <c r="K26" s="11" t="n">
        <v>120</v>
      </c>
      <c r="L26" s="11" t="n">
        <v>1</v>
      </c>
      <c r="M26" s="10" t="inlineStr">
        <is>
          <t>Unico, Lenta, Linha</t>
        </is>
      </c>
      <c r="N26" s="16" t="inlineStr">
        <is>
          <t>NAO</t>
        </is>
      </c>
      <c r="O26" s="10" t="inlineStr">
        <is>
          <t>Exotica</t>
        </is>
      </c>
      <c r="P26" s="14">
        <f>D26*(E26+1)/2+IF(F26="",0,F26*(G26+1)/2)</f>
        <v/>
      </c>
      <c r="Q26" s="15">
        <f>MIN(0.95,MAX(0.05,(21-(Parametros!$B$6-Parametros!$B$4))/20))</f>
        <v/>
      </c>
      <c r="R26" s="14">
        <f>Q26*(P26+Parametros!$B$5)+0.05*P26</f>
        <v/>
      </c>
      <c r="S26" s="14">
        <f>IF(OR(Q26&lt;=0,R26&lt;=0),"",(Parametros!$B$7/R26)/Q26)</f>
        <v/>
      </c>
      <c r="T26" s="13" t="inlineStr">
        <is>
          <t>Epico</t>
        </is>
      </c>
    </row>
    <row r="28">
      <c r="A28" s="4" t="inlineStr">
        <is>
          <t>Tiros/alvo = consumo esperado de municao por alvo. E a metrica que importa para a economia, nao o DPR.</t>
        </is>
      </c>
    </row>
    <row r="29">
      <c r="A29" s="4" t="inlineStr">
        <is>
          <t>RAJADA e restrita a armas de calibre RIFLE (Aprovacao 009): DPR 7,28, excecao NOMEADA ao teto de 6,025.</t>
        </is>
      </c>
    </row>
    <row r="30">
      <c r="A30" s="4" t="inlineStr">
        <is>
          <t xml:space="preserve">   Em Rajada o critico soma UM dado adicional em vez de dobrar - pico cai de 43 para 33 sem mexer na media.</t>
        </is>
      </c>
    </row>
    <row r="31">
      <c r="A31" s="4" t="inlineStr">
        <is>
          <t>ESPINGARDA 2d6 da 6,35, tambem excecao NOMEADA: o preco e o alcance de 4/12 hex, ou seja 6 metros.</t>
        </is>
      </c>
    </row>
    <row r="32">
      <c r="A32" s="4" t="inlineStr">
        <is>
          <t>Revolver, espingardas e metralhadora NAO aceitam silenciador. No revolver, por razao fisica: o vao entre</t>
        </is>
      </c>
    </row>
    <row r="33">
      <c r="A33" s="4" t="inlineStr">
        <is>
          <t xml:space="preserve">   tambor e cano vaza gas e som.</t>
        </is>
      </c>
    </row>
    <row r="34">
      <c r="A34" s="4" t="inlineStr">
        <is>
          <t>'Vigilia' teve o Ruido Silencioso NEGADO pelo Diretor e ficou em Baixo - arma de fogo nunca silencia.</t>
        </is>
      </c>
    </row>
    <row r="35">
      <c r="A35" s="4" t="inlineStr">
        <is>
          <t>O 'Cantor' NAO esta nesta aba: e lancador de dardos, nao arma de polvora. Ver Distancia Silenciosa.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min="1" max="1"/>
    <col width="62" customWidth="1" min="2" max="2"/>
    <col width="22" customWidth="1" min="3" max="3"/>
    <col width="56" customWidth="1" min="4" max="4"/>
  </cols>
  <sheetData>
    <row r="1" ht="16.8" customHeight="1">
      <c r="A1" s="1" t="inlineStr">
        <is>
          <t>Municao - Municoes Especiais (renomeadas de Cargas Especiais, Aprovacao 018)</t>
        </is>
      </c>
    </row>
    <row r="3">
      <c r="A3" s="5" t="inlineStr">
        <is>
          <t>Carga</t>
        </is>
      </c>
      <c r="B3" s="5" t="inlineStr">
        <is>
          <t>Efeito</t>
        </is>
      </c>
      <c r="C3" s="5" t="inlineStr">
        <is>
          <t>Sistema que toca</t>
        </is>
      </c>
      <c r="D3" s="5" t="inlineStr">
        <is>
          <t>Observacao</t>
        </is>
      </c>
    </row>
    <row r="4">
      <c r="A4" s="18" t="inlineStr">
        <is>
          <t>Subsonica</t>
        </is>
      </c>
      <c r="B4" s="19" t="inlineStr">
        <is>
          <t>-1 nivel de Ruido e -1 DEGRAU NO DADO</t>
        </is>
      </c>
      <c r="C4" s="19" t="inlineStr">
        <is>
          <t>Ruido / Horda</t>
        </is>
      </c>
      <c r="D4" s="19" t="inlineStr">
        <is>
          <t>O -1 no dado protege a 'Vigilia': silencio se paga em dano.</t>
        </is>
      </c>
    </row>
    <row r="5">
      <c r="A5" s="18" t="inlineStr">
        <is>
          <t>Perfurante (AP)</t>
        </is>
      </c>
      <c r="B5" s="19" t="inlineStr">
        <is>
          <t>Transfixante (2): reduz o bonus de cobertura do alvo</t>
        </is>
      </c>
      <c r="C5" s="19" t="inlineStr">
        <is>
          <t>Cobertura</t>
        </is>
      </c>
      <c r="D5" s="19" t="inlineStr">
        <is>
          <t>Depende da tabela de resistencias [A CALIBRAR].</t>
        </is>
      </c>
    </row>
    <row r="6">
      <c r="A6" s="18" t="inlineStr">
        <is>
          <t>Expansiva</t>
        </is>
      </c>
      <c r="B6" s="19" t="inlineStr">
        <is>
          <t>+1 degrau no dado; -2 no ataque contra alvo com armadura</t>
        </is>
      </c>
      <c r="C6" s="19" t="inlineStr">
        <is>
          <t>Dano</t>
        </is>
      </c>
      <c r="D6" s="19" t="inlineStr">
        <is>
          <t>Depende da tabela de resistencias [A CALIBRAR].</t>
        </is>
      </c>
    </row>
    <row r="7">
      <c r="A7" s="18" t="inlineStr">
        <is>
          <t>Incendiaria</t>
        </is>
      </c>
      <c r="B7" s="19" t="inlineStr">
        <is>
          <t>+1d4 Fogo; acende o hexagono do alvo</t>
        </is>
      </c>
      <c r="C7" s="19" t="inlineStr">
        <is>
          <t>Fogo / Infeccao</t>
        </is>
      </c>
      <c r="D7" s="19" t="inlineStr">
        <is>
          <t>Cria terreno, como a 'Boca de Forno'.</t>
        </is>
      </c>
    </row>
    <row r="8">
      <c r="A8" s="18" t="inlineStr">
        <is>
          <t>Envenenada</t>
        </is>
      </c>
      <c r="B8" s="19" t="inlineStr">
        <is>
          <t>Aplica Envenenado; so contra alvo organico</t>
        </is>
      </c>
      <c r="C8" s="19" t="inlineStr">
        <is>
          <t>Condicoes</t>
        </is>
      </c>
      <c r="D8" s="19" t="inlineStr">
        <is>
          <t>So Projeteis e Exotica: veneno e coisa de arqueiro.</t>
        </is>
      </c>
    </row>
    <row r="9">
      <c r="A9" s="18" t="inlineStr">
        <is>
          <t>Explosiva</t>
        </is>
      </c>
      <c r="B9" s="19" t="inlineStr">
        <is>
          <t>Dano no hexagono e metade nos adjacentes</t>
        </is>
      </c>
      <c r="C9" s="19" t="inlineStr">
        <is>
          <t>Area</t>
        </is>
      </c>
      <c r="D9" s="19" t="inlineStr">
        <is>
          <t>A unica area disponivel fora de habilidade de Classe.</t>
        </is>
      </c>
    </row>
    <row r="10">
      <c r="A10" s="18" t="inlineStr">
        <is>
          <t>Tracante</t>
        </is>
      </c>
      <c r="B10" s="19" t="inlineStr">
        <is>
          <t>+1 no ataque; o alvo e seus aliados sabem de onde veio o tiro</t>
        </is>
      </c>
      <c r="C10" s="19" t="inlineStr">
        <is>
          <t>Tatica</t>
        </is>
      </c>
      <c r="D10" s="19" t="inlineStr">
        <is>
          <t>Ganho de precisao pago em exposicao, nao em recurso.</t>
        </is>
      </c>
    </row>
    <row r="11">
      <c r="A11" s="18" t="inlineStr">
        <is>
          <t>Contencao</t>
        </is>
      </c>
      <c r="B11" s="19" t="inlineStr">
        <is>
          <t>Sem dano; alvo testa FOR ou fica Atordoado</t>
        </is>
      </c>
      <c r="C11" s="19" t="inlineStr">
        <is>
          <t>Captura / Investigacao</t>
        </is>
      </c>
      <c r="D11" s="19" t="inlineStr">
        <is>
          <t>Exclusividade da espingarda. Porta de entrada para capturar vivo.</t>
        </is>
      </c>
    </row>
    <row r="12" ht="26.4" customHeight="1">
      <c r="A12" s="20" t="inlineStr">
        <is>
          <t>Cauterizante</t>
        </is>
      </c>
      <c r="B12" s="21" t="inlineStr">
        <is>
          <t>Mutante abatido por ela NAO gera pontos de Infeccao</t>
        </is>
      </c>
      <c r="C12" s="21" t="inlineStr">
        <is>
          <t>Infeccao</t>
        </is>
      </c>
      <c r="D12" s="21" t="inlineStr">
        <is>
          <t>RARIDADE EXTREMA. 5o item anti-Infeccao e o mais perigoso: municao replica mais facil que arma unica.</t>
        </is>
      </c>
    </row>
    <row r="13">
      <c r="A13" s="18" t="inlineStr">
        <is>
          <t>Sobrecarga (EMP)</t>
        </is>
      </c>
      <c r="B13" s="19" t="inlineStr">
        <is>
          <t>+1d4 Eletrico contra alvo com cibernetica</t>
        </is>
      </c>
      <c r="C13" s="19" t="inlineStr">
        <is>
          <t>Cibernetica</t>
        </is>
      </c>
      <c r="D13" s="19" t="inlineStr">
        <is>
          <t>Sinergia com o cenario cyberpunk.</t>
        </is>
      </c>
    </row>
    <row r="15">
      <c r="A15" s="4" t="inlineStr">
        <is>
          <t>PRINCIPIO: identico ao das armas de tier alto - o poder vem de EFEITO, nunca de numero. Nenhuma carga e '+2 de dano'.</t>
        </is>
      </c>
    </row>
    <row r="16">
      <c r="A16" s="4" t="inlineStr">
        <is>
          <t>MUNICAO PADRAO e o que se saqueia, sem modificador. MUNICOES ESPECIAIS NAO SE ACHAM: SE FABRICAM,</t>
        </is>
      </c>
    </row>
    <row r="17">
      <c r="A17" s="4" t="inlineStr">
        <is>
          <t xml:space="preserve">   com os mesmos oito componentes das Modificacoes e nas mesmas duas vias, Gambiarra e Oficina.</t>
        </is>
      </c>
    </row>
    <row r="18">
      <c r="A18" s="4" t="inlineStr">
        <is>
          <t>REGRA DE CUSTO, simetrica as Modificacoes: municao de GAMBIARRA soma +1 a FAIXA DE TRAVAMENTO enquanto carregada.</t>
        </is>
      </c>
    </row>
    <row r="19">
      <c r="A19" s="4" t="inlineStr">
        <is>
          <t xml:space="preserve">   Municao suja emporcalha a arma. Municao de Oficina nao tem penalidade.</t>
        </is>
      </c>
    </row>
    <row r="20">
      <c r="A20" s="4" t="inlineStr">
        <is>
          <t>PISO DE RUIDO: qualquer empilhamento de reducoes (silenciador + subsonica, por exemplo) para no minimo em BAIXO.</t>
        </is>
      </c>
    </row>
    <row r="21">
      <c r="A21" s="4" t="inlineStr">
        <is>
          <t xml:space="preserve">   ARMA DE FOGO NUNCA CHEGA A SILENCIOSO, por mais que se empilhe. Ex.: rifle Alto -&gt; silenciador -&gt; Medio -&gt; subsonica -&gt; Baixo.</t>
        </is>
      </c>
    </row>
    <row r="22">
      <c r="A22" s="4" t="inlineStr">
        <is>
          <t>LOTE: fabricar produz um LOTE de N unidades [A CALIBRAR], nunca uma bala unica - sem isso a mesa trava em contabilidade.</t>
        </is>
      </c>
    </row>
    <row r="23">
      <c r="A23" s="4" t="inlineStr">
        <is>
          <t>FLECHAS RECUPERAVEIS PERDEM A MELHORIA: recupera-se o PROJETIL, nao a carga. Flecha envenenada recuperada volta comum.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8" customWidth="1" min="1" max="1"/>
    <col width="12" customWidth="1" min="2" max="7"/>
  </cols>
  <sheetData>
    <row r="1" ht="16.8" customHeight="1">
      <c r="A1" s="1" t="inlineStr">
        <is>
          <t>Matriz de compatibilidade - Carga Especial x Pool de municao</t>
        </is>
      </c>
    </row>
    <row r="3">
      <c r="A3" s="5" t="inlineStr">
        <is>
          <t>Carga</t>
        </is>
      </c>
      <c r="B3" s="5" t="inlineStr">
        <is>
          <t>Leve</t>
        </is>
      </c>
      <c r="C3" s="5" t="inlineStr">
        <is>
          <t>Pesado</t>
        </is>
      </c>
      <c r="D3" s="5" t="inlineStr">
        <is>
          <t>Rifle</t>
        </is>
      </c>
      <c r="E3" s="5" t="inlineStr">
        <is>
          <t>Cartucho</t>
        </is>
      </c>
      <c r="F3" s="5" t="inlineStr">
        <is>
          <t>Projeteis</t>
        </is>
      </c>
      <c r="G3" s="5" t="inlineStr">
        <is>
          <t>Exotica</t>
        </is>
      </c>
    </row>
    <row r="4">
      <c r="A4" s="18" t="inlineStr">
        <is>
          <t>Subsonica</t>
        </is>
      </c>
      <c r="B4" s="22" t="inlineStr">
        <is>
          <t>SIM</t>
        </is>
      </c>
      <c r="C4" s="22" t="inlineStr">
        <is>
          <t>SIM</t>
        </is>
      </c>
      <c r="D4" s="22" t="inlineStr">
        <is>
          <t>SIM</t>
        </is>
      </c>
      <c r="E4" s="13" t="inlineStr">
        <is>
          <t>-</t>
        </is>
      </c>
      <c r="F4" s="13" t="inlineStr">
        <is>
          <t>-</t>
        </is>
      </c>
      <c r="G4" s="22" t="inlineStr">
        <is>
          <t>SIM</t>
        </is>
      </c>
    </row>
    <row r="5">
      <c r="A5" s="18" t="inlineStr">
        <is>
          <t>Perfurante (AP)</t>
        </is>
      </c>
      <c r="B5" s="13" t="inlineStr">
        <is>
          <t>-</t>
        </is>
      </c>
      <c r="C5" s="22" t="inlineStr">
        <is>
          <t>SIM</t>
        </is>
      </c>
      <c r="D5" s="22" t="inlineStr">
        <is>
          <t>SIM</t>
        </is>
      </c>
      <c r="E5" s="13" t="inlineStr">
        <is>
          <t>-</t>
        </is>
      </c>
      <c r="F5" s="22" t="inlineStr">
        <is>
          <t>SIM</t>
        </is>
      </c>
      <c r="G5" s="22" t="inlineStr">
        <is>
          <t>SIM</t>
        </is>
      </c>
    </row>
    <row r="6">
      <c r="A6" s="18" t="inlineStr">
        <is>
          <t>Expansiva</t>
        </is>
      </c>
      <c r="B6" s="22" t="inlineStr">
        <is>
          <t>SIM</t>
        </is>
      </c>
      <c r="C6" s="22" t="inlineStr">
        <is>
          <t>SIM</t>
        </is>
      </c>
      <c r="D6" s="13" t="inlineStr">
        <is>
          <t>-</t>
        </is>
      </c>
      <c r="E6" s="22" t="inlineStr">
        <is>
          <t>SIM</t>
        </is>
      </c>
      <c r="F6" s="13" t="inlineStr">
        <is>
          <t>-</t>
        </is>
      </c>
      <c r="G6" s="13" t="inlineStr">
        <is>
          <t>-</t>
        </is>
      </c>
    </row>
    <row r="7">
      <c r="A7" s="18" t="inlineStr">
        <is>
          <t>Incendiaria</t>
        </is>
      </c>
      <c r="B7" s="13" t="inlineStr">
        <is>
          <t>-</t>
        </is>
      </c>
      <c r="C7" s="13" t="inlineStr">
        <is>
          <t>-</t>
        </is>
      </c>
      <c r="D7" s="22" t="inlineStr">
        <is>
          <t>SIM</t>
        </is>
      </c>
      <c r="E7" s="22" t="inlineStr">
        <is>
          <t>SIM</t>
        </is>
      </c>
      <c r="F7" s="22" t="inlineStr">
        <is>
          <t>SIM</t>
        </is>
      </c>
      <c r="G7" s="13" t="inlineStr">
        <is>
          <t>-</t>
        </is>
      </c>
    </row>
    <row r="8">
      <c r="A8" s="18" t="inlineStr">
        <is>
          <t>Envenenada</t>
        </is>
      </c>
      <c r="B8" s="13" t="inlineStr">
        <is>
          <t>-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22" t="inlineStr">
        <is>
          <t>SIM</t>
        </is>
      </c>
      <c r="G8" s="22" t="inlineStr">
        <is>
          <t>SIM</t>
        </is>
      </c>
    </row>
    <row r="9">
      <c r="A9" s="18" t="inlineStr">
        <is>
          <t>Explosiva</t>
        </is>
      </c>
      <c r="B9" s="13" t="inlineStr">
        <is>
          <t>-</t>
        </is>
      </c>
      <c r="C9" s="13" t="inlineStr">
        <is>
          <t>-</t>
        </is>
      </c>
      <c r="D9" s="13" t="inlineStr">
        <is>
          <t>-</t>
        </is>
      </c>
      <c r="E9" s="22" t="inlineStr">
        <is>
          <t>SIM</t>
        </is>
      </c>
      <c r="F9" s="22" t="inlineStr">
        <is>
          <t>SIM</t>
        </is>
      </c>
      <c r="G9" s="22" t="inlineStr">
        <is>
          <t>SIM</t>
        </is>
      </c>
    </row>
    <row r="10">
      <c r="A10" s="18" t="inlineStr">
        <is>
          <t>Tracante</t>
        </is>
      </c>
      <c r="B10" s="22" t="inlineStr">
        <is>
          <t>SIM</t>
        </is>
      </c>
      <c r="C10" s="13" t="inlineStr">
        <is>
          <t>-</t>
        </is>
      </c>
      <c r="D10" s="22" t="inlineStr">
        <is>
          <t>SIM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</row>
    <row r="11">
      <c r="A11" s="18" t="inlineStr">
        <is>
          <t>Contencao</t>
        </is>
      </c>
      <c r="B11" s="13" t="inlineStr">
        <is>
          <t>-</t>
        </is>
      </c>
      <c r="C11" s="13" t="inlineStr">
        <is>
          <t>-</t>
        </is>
      </c>
      <c r="D11" s="13" t="inlineStr">
        <is>
          <t>-</t>
        </is>
      </c>
      <c r="E11" s="22" t="inlineStr">
        <is>
          <t>SIM</t>
        </is>
      </c>
      <c r="F11" s="13" t="inlineStr">
        <is>
          <t>-</t>
        </is>
      </c>
      <c r="G11" s="13" t="inlineStr">
        <is>
          <t>-</t>
        </is>
      </c>
    </row>
    <row r="12">
      <c r="A12" s="18" t="inlineStr">
        <is>
          <t>Cauterizante</t>
        </is>
      </c>
      <c r="B12" s="13" t="inlineStr">
        <is>
          <t>-</t>
        </is>
      </c>
      <c r="C12" s="13" t="inlineStr">
        <is>
          <t>-</t>
        </is>
      </c>
      <c r="D12" s="22" t="inlineStr">
        <is>
          <t>SIM</t>
        </is>
      </c>
      <c r="E12" s="22" t="inlineStr">
        <is>
          <t>SIM</t>
        </is>
      </c>
      <c r="F12" s="22" t="inlineStr">
        <is>
          <t>SIM</t>
        </is>
      </c>
      <c r="G12" s="13" t="inlineStr">
        <is>
          <t>-</t>
        </is>
      </c>
    </row>
    <row r="13">
      <c r="A13" s="18" t="inlineStr">
        <is>
          <t>Sobrecarga (EMP)</t>
        </is>
      </c>
      <c r="B13" s="13" t="inlineStr">
        <is>
          <t>-</t>
        </is>
      </c>
      <c r="C13" s="22" t="inlineStr">
        <is>
          <t>SIM</t>
        </is>
      </c>
      <c r="D13" s="22" t="inlineStr">
        <is>
          <t>SIM</t>
        </is>
      </c>
      <c r="E13" s="13" t="inlineStr">
        <is>
          <t>-</t>
        </is>
      </c>
      <c r="F13" s="13" t="inlineStr">
        <is>
          <t>-</t>
        </is>
      </c>
      <c r="G13" s="22" t="inlineStr">
        <is>
          <t>SIM</t>
        </is>
      </c>
    </row>
    <row r="15">
      <c r="A15" s="4" t="inlineStr">
        <is>
          <t>O que a matriz produz sem nenhuma regra extra:</t>
        </is>
      </c>
    </row>
    <row r="16">
      <c r="A16" s="4" t="inlineStr">
        <is>
          <t xml:space="preserve">   VENENO E COISA DE ARQUEIRO - Envenenada so existe em Projeteis e Exotica.</t>
        </is>
      </c>
    </row>
    <row r="17">
      <c r="A17" s="4" t="inlineStr">
        <is>
          <t xml:space="preserve">   CONTENCAO E EXCLUSIVIDADE DA ESPINGARDA - unico pool com o cartucho de volume necessario.</t>
        </is>
      </c>
    </row>
    <row r="18">
      <c r="A18" s="4" t="inlineStr">
        <is>
          <t xml:space="preserve">   O RIFLE E O UNICO que combina Perfurante, Tracante e Subsonica, o que o torna a arma do atirador</t>
        </is>
      </c>
    </row>
    <row r="19">
      <c r="A19" s="4" t="inlineStr">
        <is>
          <t xml:space="preserve">   tatico e nao apenas a de maior alcance.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24" customWidth="1" min="1" max="1"/>
    <col width="96" customWidth="1" min="2" max="2"/>
    <col width="18" customWidth="1" min="3" max="3"/>
  </cols>
  <sheetData>
    <row r="1" ht="16.8" customHeight="1">
      <c r="A1" s="1" t="inlineStr">
        <is>
          <t>Propriedades de arma</t>
        </is>
      </c>
    </row>
    <row r="3">
      <c r="A3" s="5" t="inlineStr">
        <is>
          <t>Propriedade</t>
        </is>
      </c>
      <c r="B3" s="5" t="inlineStr">
        <is>
          <t>Efeito mecanico</t>
        </is>
      </c>
      <c r="C3" s="5" t="inlineStr">
        <is>
          <t>Origem</t>
        </is>
      </c>
    </row>
    <row r="4">
      <c r="A4" s="18" t="inlineStr">
        <is>
          <t>Agil</t>
        </is>
      </c>
      <c r="B4" s="19" t="inlineStr">
        <is>
          <t>Pode usar AGI no lugar de FOR no ataque e no dano.</t>
        </is>
      </c>
      <c r="C4" s="23" t="inlineStr">
        <is>
          <t>Aprov. 006</t>
        </is>
      </c>
    </row>
    <row r="5">
      <c r="A5" s="18" t="inlineStr">
        <is>
          <t>Leve</t>
        </is>
      </c>
      <c r="B5" s="19" t="inlineStr">
        <is>
          <t>Ocupa meio slot de inventario.</t>
        </is>
      </c>
      <c r="C5" s="23" t="inlineStr">
        <is>
          <t>Aprov. 006</t>
        </is>
      </c>
    </row>
    <row r="6">
      <c r="A6" s="18" t="inlineStr">
        <is>
          <t>Pesada</t>
        </is>
      </c>
      <c r="B6" s="19" t="inlineStr">
        <is>
          <t>Exige FOR minima (12 a 16, por arma). Abaixo dela, desvantagem no ataque.</t>
        </is>
      </c>
      <c r="C6" s="23" t="inlineStr">
        <is>
          <t>Aprov. 009</t>
        </is>
      </c>
    </row>
    <row r="7">
      <c r="A7" s="18" t="inlineStr">
        <is>
          <t>Duas maos</t>
        </is>
      </c>
      <c r="B7" s="19" t="inlineStr">
        <is>
          <t>Ocupa as duas maos. Sem escudo nem item na outra.</t>
        </is>
      </c>
      <c r="C7" s="23" t="inlineStr">
        <is>
          <t>Aprov. 006</t>
        </is>
      </c>
    </row>
    <row r="8">
      <c r="A8" s="18" t="inlineStr">
        <is>
          <t>Lenta</t>
        </is>
      </c>
      <c r="B8" s="19" t="inlineStr">
        <is>
          <t>Apos atacar, perde a Reacao ate o inicio do proximo turno.</t>
        </is>
      </c>
      <c r="C8" s="23" t="inlineStr">
        <is>
          <t>Aprov. 006</t>
        </is>
      </c>
    </row>
    <row r="9">
      <c r="A9" s="18" t="inlineStr">
        <is>
          <t>Improvisada</t>
        </is>
      </c>
      <c r="B9" s="19" t="inlineStr">
        <is>
          <t>Nao soma o bonus de proficiencia ao ataque.</t>
        </is>
      </c>
      <c r="C9" s="23" t="inlineStr">
        <is>
          <t>Aprov. 006</t>
        </is>
      </c>
    </row>
    <row r="10">
      <c r="A10" s="18" t="inlineStr">
        <is>
          <t>Utilitaria</t>
        </is>
      </c>
      <c r="B10" s="19" t="inlineStr">
        <is>
          <t>Serve como ferramenta: vantagem em testes de FOR para arrombar.</t>
        </is>
      </c>
      <c r="C10" s="23" t="inlineStr">
        <is>
          <t>Aprov. 006</t>
        </is>
      </c>
    </row>
    <row r="11">
      <c r="A11" s="18" t="inlineStr">
        <is>
          <t>Arremessavel (X/Y)</t>
        </is>
      </c>
      <c r="B11" s="19" t="inlineStr">
        <is>
          <t>Arremessavel a X/Y hexagonos, usando o mesmo atributo do corpo a corpo.</t>
        </is>
      </c>
      <c r="C11" s="23" t="inlineStr">
        <is>
          <t>Aprov. 006</t>
        </is>
      </c>
    </row>
    <row r="12">
      <c r="A12" s="18" t="inlineStr">
        <is>
          <t>Alcance 2 hex</t>
        </is>
      </c>
      <c r="B12" s="19" t="inlineStr">
        <is>
          <t>Ataca a ate 2 hexagonos, SEM ficar adjacente ao alvo.</t>
        </is>
      </c>
      <c r="C12" s="23" t="inlineStr">
        <is>
          <t>Aprov. 006</t>
        </is>
      </c>
    </row>
    <row r="13">
      <c r="A13" s="18" t="inlineStr">
        <is>
          <t>Fragil</t>
        </is>
      </c>
      <c r="B13" s="19" t="inlineStr">
        <is>
          <t>Em um 1 natural, a arma quebra.</t>
        </is>
      </c>
      <c r="C13" s="23" t="inlineStr">
        <is>
          <t>Aprov. 006</t>
        </is>
      </c>
    </row>
    <row r="14">
      <c r="A14" s="18" t="inlineStr">
        <is>
          <t>Flexivel</t>
        </is>
      </c>
      <c r="B14" s="19" t="inlineStr">
        <is>
          <t>Uma ou duas maos. Com duas maos sobe UM degrau na escada de dados (teto 1d12).</t>
        </is>
      </c>
      <c r="C14" s="23" t="inlineStr">
        <is>
          <t>Aprov. 007</t>
        </is>
      </c>
    </row>
    <row r="15">
      <c r="A15" s="18" t="inlineStr">
        <is>
          <t>Enganchar</t>
        </is>
      </c>
      <c r="B15" s="19" t="inlineStr">
        <is>
          <t>No acerto, em vez do dano, mova o alvo 1 hex ou derrube-o. Alvos 2 categorias maiores sao imunes.</t>
        </is>
      </c>
      <c r="C15" s="23" t="inlineStr">
        <is>
          <t>Aprov. 009</t>
        </is>
      </c>
    </row>
    <row r="16">
      <c r="A16" s="18" t="inlineStr">
        <is>
          <t>Recarga</t>
        </is>
      </c>
      <c r="B16" s="19" t="inlineStr">
        <is>
          <t>Apos atirar, exige 1 Acao para rearmar. Nao pode atacar e recarregar no mesmo turno.</t>
        </is>
      </c>
      <c r="C16" s="23" t="inlineStr">
        <is>
          <t>Aprov. 009</t>
        </is>
      </c>
    </row>
    <row r="17">
      <c r="A17" s="18" t="inlineStr">
        <is>
          <t>Cone (X hex)</t>
        </is>
      </c>
      <c r="B17" s="19" t="inlineStr">
        <is>
          <t>Afeta um cone de X hex. Sem rolagem: cada alvo testa resistencia; falha = dano cheio, sucesso = metade.</t>
        </is>
      </c>
      <c r="C17" s="23" t="inlineStr">
        <is>
          <t>Aprov. 009</t>
        </is>
      </c>
    </row>
    <row r="18" ht="26.4" customHeight="1">
      <c r="A18" s="18" t="inlineStr">
        <is>
          <t>Acoplada</t>
        </is>
      </c>
      <c r="B18" s="19" t="inlineStr">
        <is>
          <t>Ocupa o slot de modificacao de uma arma de fogo hospedeira. Ataca em corpo a corpo sem gastar a interacao livre.</t>
        </is>
      </c>
      <c r="C18" s="23" t="inlineStr">
        <is>
          <t>Aprov. 009</t>
        </is>
      </c>
    </row>
    <row r="19">
      <c r="A19" s="18" t="inlineStr">
        <is>
          <t>Dupla Face</t>
        </is>
      </c>
      <c r="B19" s="19" t="inlineStr">
        <is>
          <t>Escolha entre dois tipos de dano ao declarar. O Nivel de Ruido segue o tipo escolhido.</t>
        </is>
      </c>
      <c r="C19" s="23" t="inlineStr">
        <is>
          <t>Aprov. 009</t>
        </is>
      </c>
    </row>
    <row r="20">
      <c r="A20" s="18" t="inlineStr">
        <is>
          <t>Transfixante (X)</t>
        </is>
      </c>
      <c r="B20" s="19" t="inlineStr">
        <is>
          <t>Reduz em X o bonus de cobertura do alvo, minimo 0. NAO permite atacar quem esta em cobertura total.</t>
        </is>
      </c>
      <c r="C20" s="23" t="inlineStr">
        <is>
          <t>Aprov. 009</t>
        </is>
      </c>
    </row>
    <row r="21">
      <c r="A21" s="18" t="inlineStr">
        <is>
          <t>Estacar</t>
        </is>
      </c>
      <c r="B21" s="19" t="inlineStr">
        <is>
          <t>Como Reacao: quando uma criatura entra no seu alcance de 2 hex, ataca-a. So se voce nao se moveu.</t>
        </is>
      </c>
      <c r="C21" s="23" t="inlineStr">
        <is>
          <t>Aprov. 009</t>
        </is>
      </c>
    </row>
    <row r="22">
      <c r="A22" s="18" t="inlineStr">
        <is>
          <t>Enxertada</t>
        </is>
      </c>
      <c r="B22" s="19" t="inlineStr">
        <is>
          <t>Nao pode ser desarmada, guardada, roubada nem trocada. Voce conta como SEMPRE armado.</t>
        </is>
      </c>
      <c r="C22" s="23" t="inlineStr">
        <is>
          <t>Aprov. 009</t>
        </is>
      </c>
    </row>
    <row r="23">
      <c r="A23" s="18" t="inlineStr">
        <is>
          <t>Carga (N)</t>
        </is>
      </c>
      <c r="B23" s="19" t="inlineStr">
        <is>
          <t>Recurso do item, N cargas. NAO e municao e nao usa pool de calibre. Reposicao [A CALIBRAR].</t>
        </is>
      </c>
      <c r="C23" s="23" t="inlineStr">
        <is>
          <t>Aprov. 009</t>
        </is>
      </c>
    </row>
    <row r="24">
      <c r="A24" s="18" t="inlineStr">
        <is>
          <t>Trilha de Calor (N)</t>
        </is>
      </c>
      <c r="B24" s="19" t="inlineStr">
        <is>
          <t>Cada disparo soma 1. Ventilar custa a Acao e remove 2. No teto, a arma desliga pela cena.</t>
        </is>
      </c>
      <c r="C24" s="23" t="inlineStr">
        <is>
          <t>Aprov. 009</t>
        </is>
      </c>
    </row>
    <row r="25">
      <c r="A25" s="18" t="inlineStr">
        <is>
          <t>Municao Exotica</t>
        </is>
      </c>
      <c r="B25" s="19" t="inlineStr">
        <is>
          <t>Pool proprio, fora dos 4 calibres. So se fabrica no Refugio. LIMITE DE 2 ITENS NO JOGO.</t>
        </is>
      </c>
      <c r="C25" s="23" t="inlineStr">
        <is>
          <t>Aprov. 009</t>
        </is>
      </c>
    </row>
    <row r="26">
      <c r="A26" s="18" t="inlineStr">
        <is>
          <t>Espalhamento (X hex)</t>
        </is>
      </c>
      <c r="B26" s="19" t="inlineStr">
        <is>
          <t>Ao atacar alvo a 1-X hex, escolhe um 2o alvo adjacente e aplica a MESMA rolagem; metade dos dados, sem mod.</t>
        </is>
      </c>
      <c r="C26" s="23" t="inlineStr">
        <is>
          <t>Aprov. 009</t>
        </is>
      </c>
    </row>
    <row r="27">
      <c r="A27" s="18" t="inlineStr">
        <is>
          <t>Linha</t>
        </is>
      </c>
      <c r="B27" s="19" t="inlineStr">
        <is>
          <t>Ao acertar, a mesma rolagem se aplica a uma segunda criatura no hexagono imediatamente atras.</t>
        </is>
      </c>
      <c r="C27" s="23" t="inlineStr">
        <is>
          <t>Aprov. 009</t>
        </is>
      </c>
    </row>
    <row r="29">
      <c r="A29" s="4" t="inlineStr">
        <is>
          <t>NAO EXISTE a propriedade 'Confiavel' (nunca trava): rejeitada na Aprovacao 009 e substituida por faixa reduzida</t>
        </is>
      </c>
    </row>
    <row r="30">
      <c r="A30" s="4" t="inlineStr">
        <is>
          <t xml:space="preserve">   a 1 natural confirmado, para nao criar um recurso de turno morto nem pressionar a reabertura da Acao Bonus.</t>
        </is>
      </c>
    </row>
    <row r="31">
      <c r="A31" s="4" t="inlineStr">
        <is>
          <t>ATENCAO A TERMINOLOGIA: 'Pesada' aqui e PROPRIEDADE DE ARMA (exige FOR). O PORTE de modificacao ofensiva</t>
        </is>
      </c>
    </row>
    <row r="32">
      <c r="A32" s="4" t="inlineStr">
        <is>
          <t xml:space="preserve">   chama-se SIMPLES e ESTRUTURAL (Aprovacao 012) - antes eram 'Leve' e 'Pesada', o que colidia com esta tabela.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6" customWidth="1" min="1" max="1"/>
    <col width="22" customWidth="1" min="2" max="2"/>
    <col width="12" customWidth="1" min="3" max="3"/>
    <col width="7" customWidth="1" min="4" max="4"/>
    <col width="48" customWidth="1" min="5" max="5"/>
    <col width="33" customWidth="1" min="6" max="7"/>
    <col width="8" customWidth="1" min="8" max="8"/>
  </cols>
  <sheetData>
    <row r="1" ht="16.8" customHeight="1">
      <c r="A1" s="1" t="inlineStr">
        <is>
          <t>Sistema de Modificacoes - Gambiarra e Oficina</t>
        </is>
      </c>
    </row>
    <row r="3">
      <c r="A3" s="5" t="inlineStr">
        <is>
          <t>Familia</t>
        </is>
      </c>
      <c r="B3" s="5" t="inlineStr">
        <is>
          <t>Modificacao</t>
        </is>
      </c>
      <c r="C3" s="5" t="inlineStr">
        <is>
          <t>Porte</t>
        </is>
      </c>
      <c r="D3" s="5" t="inlineStr">
        <is>
          <t>Slots</t>
        </is>
      </c>
      <c r="E3" s="5" t="inlineStr">
        <is>
          <t>Efeito</t>
        </is>
      </c>
      <c r="F3" s="5" t="inlineStr">
        <is>
          <t>Gambiarra (campo)</t>
        </is>
      </c>
      <c r="G3" s="5" t="inlineStr">
        <is>
          <t>Oficina (Refugio)</t>
        </is>
      </c>
      <c r="H3" s="5" t="inlineStr">
        <is>
          <t>CD INT</t>
        </is>
      </c>
    </row>
    <row r="4">
      <c r="A4" s="8" t="inlineStr">
        <is>
          <t>OFENSIVA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19" t="inlineStr">
        <is>
          <t>Ofensiva</t>
        </is>
      </c>
      <c r="B5" s="24" t="inlineStr">
        <is>
          <t>Pregos / Parafusos</t>
        </is>
      </c>
      <c r="C5" s="19" t="inlineStr">
        <is>
          <t>Simples</t>
        </is>
      </c>
      <c r="D5" s="13" t="n">
        <v>1</v>
      </c>
      <c r="E5" s="19" t="inlineStr">
        <is>
          <t>+1 degrau de dado</t>
        </is>
      </c>
      <c r="F5" s="19" t="inlineStr">
        <is>
          <t>Sucata x2</t>
        </is>
      </c>
      <c r="G5" s="19" t="inlineStr">
        <is>
          <t>Sucata x1, Pecas x1</t>
        </is>
      </c>
      <c r="H5" s="6" t="n">
        <v>10</v>
      </c>
    </row>
    <row r="6">
      <c r="A6" s="19" t="inlineStr">
        <is>
          <t>Ofensiva</t>
        </is>
      </c>
      <c r="B6" s="24" t="inlineStr">
        <is>
          <t>Cabeca Lastrada</t>
        </is>
      </c>
      <c r="C6" s="19" t="inlineStr">
        <is>
          <t>Simples</t>
        </is>
      </c>
      <c r="D6" s="13" t="n">
        <v>1</v>
      </c>
      <c r="E6" s="19" t="inlineStr">
        <is>
          <t>+1 degrau; a arma ganha Lenta</t>
        </is>
      </c>
      <c r="F6" s="19" t="inlineStr">
        <is>
          <t>Sucata x2, Pecas x1</t>
        </is>
      </c>
      <c r="G6" s="19" t="inlineStr">
        <is>
          <t>Pecas x2, Liga x1</t>
        </is>
      </c>
      <c r="H6" s="6" t="n">
        <v>12</v>
      </c>
    </row>
    <row r="7" ht="26.4" customHeight="1">
      <c r="A7" s="19" t="inlineStr">
        <is>
          <t>Ofensiva</t>
        </is>
      </c>
      <c r="B7" s="24" t="inlineStr">
        <is>
          <t>Laminas Soldadas</t>
        </is>
      </c>
      <c r="C7" s="19" t="inlineStr">
        <is>
          <t>Simples</t>
        </is>
      </c>
      <c r="D7" s="13" t="n">
        <v>1</v>
      </c>
      <c r="E7" s="19" t="inlineStr">
        <is>
          <t>+1 degrau; dano passa a Cortante (e o Ruido a Silencioso)</t>
        </is>
      </c>
      <c r="F7" s="19" t="inlineStr">
        <is>
          <t>Sucata x2, Pecas x1</t>
        </is>
      </c>
      <c r="G7" s="19" t="inlineStr">
        <is>
          <t>Liga x1, Pecas x1</t>
        </is>
      </c>
      <c r="H7" s="6" t="n">
        <v>14</v>
      </c>
    </row>
    <row r="8" ht="26.4" customHeight="1">
      <c r="A8" s="19" t="inlineStr">
        <is>
          <t>Ofensiva</t>
        </is>
      </c>
      <c r="B8" s="24" t="inlineStr">
        <is>
          <t>Arame Farpado</t>
        </is>
      </c>
      <c r="C8" s="19" t="inlineStr">
        <is>
          <t>ESTRUTURAL</t>
        </is>
      </c>
      <c r="D8" s="13" t="n">
        <v>2</v>
      </c>
      <c r="E8" s="19" t="inlineStr">
        <is>
          <t>+2 degraus de dado</t>
        </is>
      </c>
      <c r="F8" s="19" t="inlineStr">
        <is>
          <t>Sucata x3, Pecas x1</t>
        </is>
      </c>
      <c r="G8" s="19" t="inlineStr">
        <is>
          <t>Sucata x2, Liga x1</t>
        </is>
      </c>
      <c r="H8" s="6" t="n">
        <v>12</v>
      </c>
    </row>
    <row r="9">
      <c r="A9" s="19" t="inlineStr">
        <is>
          <t>Ofensiva</t>
        </is>
      </c>
      <c r="B9" s="24" t="inlineStr">
        <is>
          <t>Ponta Incendiaria</t>
        </is>
      </c>
      <c r="C9" s="19" t="inlineStr">
        <is>
          <t>Simples</t>
        </is>
      </c>
      <c r="D9" s="13" t="n">
        <v>1</v>
      </c>
      <c r="E9" s="19" t="inlineStr">
        <is>
          <t>+1d4 Fogo; consome 1 Quimica por combate</t>
        </is>
      </c>
      <c r="F9" s="19" t="inlineStr">
        <is>
          <t>Quimica x2, Fiacao x1</t>
        </is>
      </c>
      <c r="G9" s="19" t="inlineStr">
        <is>
          <t>Quimica x2, Pecas x1</t>
        </is>
      </c>
      <c r="H9" s="6" t="n">
        <v>15</v>
      </c>
    </row>
    <row r="10">
      <c r="A10" s="19" t="inlineStr">
        <is>
          <t>Ofensiva</t>
        </is>
      </c>
      <c r="B10" s="24" t="inlineStr">
        <is>
          <t>Eletrodos</t>
        </is>
      </c>
      <c r="C10" s="19" t="inlineStr">
        <is>
          <t>Simples</t>
        </is>
      </c>
      <c r="D10" s="13" t="n">
        <v>1</v>
      </c>
      <c r="E10" s="19" t="inlineStr">
        <is>
          <t>+1d4 Eletrico; gasta carga da Celula</t>
        </is>
      </c>
      <c r="F10" s="19" t="inlineStr">
        <is>
          <t>Fiacao x2, Eletronicos x1, Celula x1</t>
        </is>
      </c>
      <c r="G10" s="19" t="inlineStr">
        <is>
          <t>Eletronicos x1, Celula x1, Liga x1</t>
        </is>
      </c>
      <c r="H10" s="6" t="n">
        <v>16</v>
      </c>
    </row>
    <row r="11">
      <c r="A11" s="8" t="inlineStr">
        <is>
          <t>PRECISAO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19" t="inlineStr">
        <is>
          <t>Precisao</t>
        </is>
      </c>
      <c r="B12" s="24" t="inlineStr">
        <is>
          <t>Mira Telescopica</t>
        </is>
      </c>
      <c r="C12" s="19" t="inlineStr">
        <is>
          <t>-</t>
        </is>
      </c>
      <c r="D12" s="13" t="n">
        <v>1</v>
      </c>
      <c r="E12" s="19" t="inlineStr">
        <is>
          <t>+50% no alcance normal</t>
        </is>
      </c>
      <c r="F12" s="19" t="inlineStr">
        <is>
          <t>Optica x2, Pecas x1</t>
        </is>
      </c>
      <c r="G12" s="19" t="inlineStr">
        <is>
          <t>Optica x1, Liga x1</t>
        </is>
      </c>
      <c r="H12" s="6" t="n">
        <v>14</v>
      </c>
    </row>
    <row r="13">
      <c r="A13" s="19" t="inlineStr">
        <is>
          <t>Precisao</t>
        </is>
      </c>
      <c r="B13" s="24" t="inlineStr">
        <is>
          <t>Designador Laser</t>
        </is>
      </c>
      <c r="C13" s="19" t="inlineStr">
        <is>
          <t>-</t>
        </is>
      </c>
      <c r="D13" s="13" t="n">
        <v>1</v>
      </c>
      <c r="E13" s="19" t="inlineStr">
        <is>
          <t>+1 no ataque a distancia</t>
        </is>
      </c>
      <c r="F13" s="19" t="inlineStr">
        <is>
          <t>Optica x1, Eletronicos x1, Celula x1</t>
        </is>
      </c>
      <c r="G13" s="19" t="inlineStr">
        <is>
          <t>Eletronicos x1, Celula x1</t>
        </is>
      </c>
      <c r="H13" s="6" t="n">
        <v>16</v>
      </c>
    </row>
    <row r="14">
      <c r="A14" s="19" t="inlineStr">
        <is>
          <t>Precisao</t>
        </is>
      </c>
      <c r="B14" s="24" t="inlineStr">
        <is>
          <t>Coronha Estabilizada</t>
        </is>
      </c>
      <c r="C14" s="19" t="inlineStr">
        <is>
          <t>-</t>
        </is>
      </c>
      <c r="D14" s="13" t="n">
        <v>1</v>
      </c>
      <c r="E14" s="19" t="inlineStr">
        <is>
          <t>Remove a desvantagem no alcance longo</t>
        </is>
      </c>
      <c r="F14" s="19" t="inlineStr">
        <is>
          <t>Sucata x2, Pecas x2</t>
        </is>
      </c>
      <c r="G14" s="19" t="inlineStr">
        <is>
          <t>Pecas x2, Liga x1</t>
        </is>
      </c>
      <c r="H14" s="6" t="n">
        <v>12</v>
      </c>
    </row>
    <row r="15">
      <c r="A15" s="8" t="inlineStr">
        <is>
          <t>FURTIVA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19" t="inlineStr">
        <is>
          <t>Furtiva</t>
        </is>
      </c>
      <c r="B16" s="24" t="inlineStr">
        <is>
          <t>Silenciador</t>
        </is>
      </c>
      <c r="C16" s="19" t="inlineStr">
        <is>
          <t>-</t>
        </is>
      </c>
      <c r="D16" s="13" t="n">
        <v>1</v>
      </c>
      <c r="E16" s="19" t="inlineStr">
        <is>
          <t>-1 nivel de Ruido, por 30 disparos</t>
        </is>
      </c>
      <c r="F16" s="19" t="inlineStr">
        <is>
          <t>Pecas x2, Quimica x1</t>
        </is>
      </c>
      <c r="G16" s="19" t="inlineStr">
        <is>
          <t>Liga x1, Pecas x1, Quimica x1</t>
        </is>
      </c>
      <c r="H16" s="6" t="n">
        <v>15</v>
      </c>
    </row>
    <row r="17">
      <c r="A17" s="19" t="inlineStr">
        <is>
          <t>Furtiva</t>
        </is>
      </c>
      <c r="B17" s="24" t="inlineStr">
        <is>
          <t>Pano Abafador</t>
        </is>
      </c>
      <c r="C17" s="19" t="inlineStr">
        <is>
          <t>-</t>
        </is>
      </c>
      <c r="D17" s="13" t="n">
        <v>1</v>
      </c>
      <c r="E17" s="19" t="inlineStr">
        <is>
          <t>-1 nivel de Ruido, SO em corpo a corpo de concussao</t>
        </is>
      </c>
      <c r="F17" s="19" t="inlineStr">
        <is>
          <t>Sucata x1</t>
        </is>
      </c>
      <c r="G17" s="19" t="inlineStr">
        <is>
          <t>- (nao existe)</t>
        </is>
      </c>
      <c r="H17" s="6" t="n">
        <v>8</v>
      </c>
    </row>
    <row r="18">
      <c r="A18" s="8" t="inlineStr">
        <is>
          <t>CONFIABILIDADE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19" t="inlineStr">
        <is>
          <t>Confiabilidade</t>
        </is>
      </c>
      <c r="B19" s="24" t="inlineStr">
        <is>
          <t>Recalibragem</t>
        </is>
      </c>
      <c r="C19" s="19" t="inlineStr">
        <is>
          <t>-</t>
        </is>
      </c>
      <c r="D19" s="13" t="n">
        <v>1</v>
      </c>
      <c r="E19" s="19" t="inlineStr">
        <is>
          <t>+1 degrau de conservacao</t>
        </is>
      </c>
      <c r="F19" s="19" t="inlineStr">
        <is>
          <t>Pecas x2, Quimica x1</t>
        </is>
      </c>
      <c r="G19" s="19" t="inlineStr">
        <is>
          <t>Pecas x1, Quimica x1</t>
        </is>
      </c>
      <c r="H19" s="6" t="n">
        <v>12</v>
      </c>
    </row>
    <row r="20" ht="26.4" customHeight="1">
      <c r="A20" s="19" t="inlineStr">
        <is>
          <t>Confiabilidade</t>
        </is>
      </c>
      <c r="B20" s="24" t="inlineStr">
        <is>
          <t>Pecas Novas</t>
        </is>
      </c>
      <c r="C20" s="19" t="inlineStr">
        <is>
          <t>-</t>
        </is>
      </c>
      <c r="D20" s="13" t="n">
        <v>1</v>
      </c>
      <c r="E20" s="19" t="inlineStr">
        <is>
          <t>+1 degrau de conservacao e imune a queda por 1 sessao</t>
        </is>
      </c>
      <c r="F20" s="19" t="inlineStr">
        <is>
          <t>- (so Oficina)</t>
        </is>
      </c>
      <c r="G20" s="19" t="inlineStr">
        <is>
          <t>Liga x1, Pecas x2</t>
        </is>
      </c>
      <c r="H20" s="6" t="n">
        <v>15</v>
      </c>
    </row>
    <row r="21">
      <c r="A21" s="19" t="inlineStr">
        <is>
          <t>Confiabilidade</t>
        </is>
      </c>
      <c r="B21" s="24" t="inlineStr">
        <is>
          <t>Guarda de Ejecao</t>
        </is>
      </c>
      <c r="C21" s="19" t="inlineStr">
        <is>
          <t>-</t>
        </is>
      </c>
      <c r="D21" s="13" t="n">
        <v>1</v>
      </c>
      <c r="E21" s="19" t="inlineStr">
        <is>
          <t>Reduz em 1 a faixa de travamento</t>
        </is>
      </c>
      <c r="F21" s="19" t="inlineStr">
        <is>
          <t>Pecas x2</t>
        </is>
      </c>
      <c r="G21" s="19" t="inlineStr">
        <is>
          <t>Pecas x1, Liga x1</t>
        </is>
      </c>
      <c r="H21" s="6" t="n">
        <v>14</v>
      </c>
    </row>
    <row r="22">
      <c r="A22" s="8" t="inlineStr">
        <is>
          <t>SUPORTE</t>
        </is>
      </c>
      <c r="B22" s="9" t="n"/>
      <c r="C22" s="9" t="n"/>
      <c r="D22" s="9" t="n"/>
      <c r="E22" s="9" t="n"/>
      <c r="F22" s="9" t="n"/>
      <c r="G22" s="9" t="n"/>
      <c r="H22" s="9" t="n"/>
    </row>
    <row r="23" ht="26.4" customHeight="1">
      <c r="A23" s="19" t="inlineStr">
        <is>
          <t>Suporte</t>
        </is>
      </c>
      <c r="B23" s="24" t="inlineStr">
        <is>
          <t>Guarda-mao</t>
        </is>
      </c>
      <c r="C23" s="19" t="inlineStr">
        <is>
          <t>-</t>
        </is>
      </c>
      <c r="D23" s="13" t="n">
        <v>1</v>
      </c>
      <c r="E23" s="19" t="inlineStr">
        <is>
          <t>+1 de Defesa em corpo a corpo; nao perde a arma se desarmado</t>
        </is>
      </c>
      <c r="F23" s="19" t="inlineStr">
        <is>
          <t>Sucata x2, Pecas x1</t>
        </is>
      </c>
      <c r="G23" s="19" t="inlineStr">
        <is>
          <t>Liga x1, Pecas x1</t>
        </is>
      </c>
      <c r="H23" s="6" t="n">
        <v>10</v>
      </c>
    </row>
    <row r="24">
      <c r="A24" s="19" t="inlineStr">
        <is>
          <t>Suporte</t>
        </is>
      </c>
      <c r="B24" s="24" t="inlineStr">
        <is>
          <t>Lanterna Acoplada</t>
        </is>
      </c>
      <c r="C24" s="19" t="inlineStr">
        <is>
          <t>-</t>
        </is>
      </c>
      <c r="D24" s="13" t="n">
        <v>1</v>
      </c>
      <c r="E24" s="19" t="inlineStr">
        <is>
          <t>Ilumina 4 hex a frente</t>
        </is>
      </c>
      <c r="F24" s="19" t="inlineStr">
        <is>
          <t>Fiacao x1, Celula x1</t>
        </is>
      </c>
      <c r="G24" s="19" t="inlineStr">
        <is>
          <t>Eletronicos x1, Celula x1</t>
        </is>
      </c>
      <c r="H24" s="6" t="n">
        <v>10</v>
      </c>
    </row>
    <row r="25">
      <c r="A25" s="19" t="inlineStr">
        <is>
          <t>Suporte</t>
        </is>
      </c>
      <c r="B25" s="24" t="inlineStr">
        <is>
          <t>Alca Tatica</t>
        </is>
      </c>
      <c r="C25" s="19" t="inlineStr">
        <is>
          <t>-</t>
        </is>
      </c>
      <c r="D25" s="13" t="n">
        <v>1</v>
      </c>
      <c r="E25" s="19" t="inlineStr">
        <is>
          <t>Trocar de arma deixa de custar a interacao livre</t>
        </is>
      </c>
      <c r="F25" s="19" t="inlineStr">
        <is>
          <t>Sucata x1</t>
        </is>
      </c>
      <c r="G25" s="19" t="inlineStr">
        <is>
          <t>Sucata x1, Pecas x1</t>
        </is>
      </c>
      <c r="H25" s="6" t="n">
        <v>8</v>
      </c>
    </row>
    <row r="27">
      <c r="A27" s="4" t="inlineStr">
        <is>
          <t>SLOTS (Aprovacao 013): modificacao ofensiva Simples = 1 slot, Estrutural = 2 slots, e QUALQUER</t>
        </is>
      </c>
    </row>
    <row r="28">
      <c r="A28" s="4" t="inlineStr">
        <is>
          <t xml:space="preserve">   modificacao NAO OFENSIVA = 1 slot, salvo indicacao contraria. Antes da 013 as onze nao-ofensivas</t>
        </is>
      </c>
    </row>
    <row r="29">
      <c r="A29" s="4" t="inlineStr">
        <is>
          <t xml:space="preserve">   nao declaravam custo em slot nenhum, o que tornava impossivel fechar qualquer build.</t>
        </is>
      </c>
    </row>
    <row r="30">
      <c r="A30" s="4" t="inlineStr">
        <is>
          <t>FAMILIA RENOMEADA na Aprovacao 013: 'Utilitaria' virou SUPORTE, porque Utilitaria ja era uma</t>
        </is>
      </c>
    </row>
    <row r="31">
      <c r="A31" s="4" t="inlineStr">
        <is>
          <t xml:space="preserve">   PROPRIEDADE de arma (vantagem em testes de FOR para arrombar). Era a terceira colisao de nome do sistema.</t>
        </is>
      </c>
    </row>
    <row r="32">
      <c r="A32" s="4" t="inlineStr">
        <is>
          <t>QUEBRA e TRAVAMENTO sao contadores DISTINTOS que NUNCA se somam (Aprovacao 013): quebra e a arma se</t>
        </is>
      </c>
    </row>
    <row r="33">
      <c r="A33" s="4" t="inlineStr">
        <is>
          <t xml:space="preserve">   partir (Fragil e o +1 da Gambiarra); travamento e a arma emperrar (1 natural em arma de fogo).</t>
        </is>
      </c>
    </row>
    <row r="34">
      <c r="A34" s="4" t="inlineStr">
        <is>
          <t xml:space="preserve">   Por isso a Guarda de Ejecao NAO se anula: ela reduz o travamento, a Gambiarra piora a quebra.</t>
        </is>
      </c>
    </row>
    <row r="35">
      <c r="A35" s="4" t="inlineStr">
        <is>
          <t>ELETRODOS e PONTA INCENDIARIA em arma de multiplas rolagens: o dado extra entra UMA VEZ SO (Aprovacao 013).</t>
        </is>
      </c>
    </row>
    <row r="36">
      <c r="A36" s="4" t="inlineStr">
        <is>
          <t xml:space="preserve">   Soqueira + Eletrodos = 2d4 Concussao + 1d4 Eletrico, nao +2d4.</t>
        </is>
      </c>
    </row>
    <row r="37">
      <c r="A37" s="4" t="inlineStr">
        <is>
          <t>PORTES RENOMEADOS na Aprovacao 012: SIMPLES (+1 degrau, 1 slot) e ESTRUTURAL (+2 degraus, 2 slots).</t>
        </is>
      </c>
    </row>
    <row r="38">
      <c r="A38" s="4" t="inlineStr">
        <is>
          <t xml:space="preserve">   Antes chamavam-se 'Leve' e 'Pesada', o que colidia com as PROPRIEDADES de arma de mesmo nome. Sao coisas distintas:</t>
        </is>
      </c>
    </row>
    <row r="39">
      <c r="A39" s="4" t="inlineStr">
        <is>
          <t xml:space="preserve">   a propriedade Pesada exige FOR; o porte Estrutural consome 2 slots. Nao tem relacao uma com a outra.</t>
        </is>
      </c>
    </row>
    <row r="40">
      <c r="A40" s="4" t="inlineStr">
        <is>
          <t>SLOTS: arma comum 2, arma especializada 3 (rifle de precisao, besta, metralhadora).</t>
        </is>
      </c>
    </row>
    <row r="41">
      <c r="A41" s="4" t="inlineStr">
        <is>
          <t xml:space="preserve">   Os exemplos do Diretor fecham sozinhos: taco 1d8 + Pregos (Simples) = 1d10 sobrando 1 slot;</t>
        </is>
      </c>
    </row>
    <row r="42">
      <c r="A42" s="4" t="inlineStr">
        <is>
          <t xml:space="preserve">   cano 1d4 + Arame Farpado (Estrutural) = 1d8 consumindo os 2. Um cano enrolado em arame E a arma inteira.</t>
        </is>
      </c>
    </row>
    <row r="43">
      <c r="A43" s="4" t="inlineStr">
        <is>
          <t>REGRA CENTRAL DE CUSTO: cada modificacao GAMBIARRA soma +1 a FAIXA DE QUEBRA. A de OFICINA nao tem penalidade.</t>
        </is>
      </c>
    </row>
    <row r="44">
      <c r="A44" s="4" t="inlineStr">
        <is>
          <t xml:space="preserve">   Isso preserva a assimetria de que corpo a corpo nunca trava: a arma BASE continua imune, so a modificada fragiliza.</t>
        </is>
      </c>
    </row>
    <row r="45">
      <c r="A45" s="4" t="inlineStr">
        <is>
          <t xml:space="preserve">   Empilhar gambiarras e uma APOSTA. Quem quer stack precisa de Oficina; Oficina precisa de Liga; Liga so se saqueia.</t>
        </is>
      </c>
    </row>
    <row r="46">
      <c r="A46" s="4" t="inlineStr">
        <is>
          <t>FALHA CRITICA (1 natural no teste de INT): material perdido e a arma cai 1 degrau de conservacao.</t>
        </is>
      </c>
    </row>
    <row r="47">
      <c r="A47" s="4" t="inlineStr">
        <is>
          <t>A soqueira de raios se fabrica aqui: Soqueira + Eletrodos = 2d4 Concussao + 1d4 Eletrico.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22" customWidth="1" min="1" max="1"/>
    <col width="14" customWidth="1" min="2" max="2"/>
    <col width="48" customWidth="1" min="3" max="3"/>
    <col width="62" customWidth="1" min="4" max="4"/>
  </cols>
  <sheetData>
    <row r="1" ht="16.8" customHeight="1">
      <c r="A1" s="1" t="inlineStr">
        <is>
          <t>Os oito componentes</t>
        </is>
      </c>
    </row>
    <row r="3">
      <c r="A3" s="5" t="inlineStr">
        <is>
          <t>Componente</t>
        </is>
      </c>
      <c r="B3" s="5" t="inlineStr">
        <is>
          <t>Escassez</t>
        </is>
      </c>
      <c r="C3" s="5" t="inlineStr">
        <is>
          <t>O que e</t>
        </is>
      </c>
      <c r="D3" s="5" t="inlineStr">
        <is>
          <t>Nota de economia</t>
        </is>
      </c>
    </row>
    <row r="4">
      <c r="A4" s="18" t="inlineStr">
        <is>
          <t>Sucata</t>
        </is>
      </c>
      <c r="B4" s="13" t="inlineStr">
        <is>
          <t>Abundante</t>
        </is>
      </c>
      <c r="C4" s="10" t="inlineStr">
        <is>
          <t>Metal torto, madeira, entulho, lata</t>
        </is>
      </c>
      <c r="D4" s="10" t="inlineStr">
        <is>
          <t>Base de quase toda gambiarra. A palavra FICA no componente (Aprovacao 018).</t>
        </is>
      </c>
    </row>
    <row r="5">
      <c r="A5" s="18" t="inlineStr">
        <is>
          <t>Pecas Mecanicas</t>
        </is>
      </c>
      <c r="B5" s="13" t="inlineStr">
        <is>
          <t>Comum</t>
        </is>
      </c>
      <c r="C5" s="10" t="inlineStr">
        <is>
          <t>Molas, parafusos, engrenagens, canos, roscas</t>
        </is>
      </c>
      <c r="D5" s="10" t="inlineStr">
        <is>
          <t>O mais versatil das cinco familias.</t>
        </is>
      </c>
    </row>
    <row r="6">
      <c r="A6" s="18" t="inlineStr">
        <is>
          <t>Fiacao</t>
        </is>
      </c>
      <c r="B6" s="13" t="inlineStr">
        <is>
          <t>Comum</t>
        </is>
      </c>
      <c r="C6" s="10" t="inlineStr">
        <is>
          <t>Cabo, fio de cobre, isolamento</t>
        </is>
      </c>
      <c r="D6" s="10" t="inlineStr">
        <is>
          <t>Porta de entrada das modificacoes eletricas.</t>
        </is>
      </c>
    </row>
    <row r="7">
      <c r="A7" s="18" t="inlineStr">
        <is>
          <t>Quimica</t>
        </is>
      </c>
      <c r="B7" s="13" t="inlineStr">
        <is>
          <t>Incomum</t>
        </is>
      </c>
      <c r="C7" s="10" t="inlineStr">
        <is>
          <t>Solvente, adesivo, propelente, acido</t>
        </is>
      </c>
      <c r="D7" s="10" t="inlineStr">
        <is>
          <t>Consumida por uso na Ponta Incendiaria, nas cargas e no SORO DE CAMPO do Medico (Aprov. 023).</t>
        </is>
      </c>
    </row>
    <row r="8">
      <c r="A8" s="18" t="inlineStr">
        <is>
          <t>Optica</t>
        </is>
      </c>
      <c r="B8" s="13" t="inlineStr">
        <is>
          <t>Incomum</t>
        </is>
      </c>
      <c r="C8" s="10" t="inlineStr">
        <is>
          <t>Lente, vidro tratado, visor</t>
        </is>
      </c>
      <c r="D8" s="10" t="inlineStr">
        <is>
          <t>Gargalo das modificacoes de Precisao.</t>
        </is>
      </c>
    </row>
    <row r="9">
      <c r="A9" s="18" t="inlineStr">
        <is>
          <t>Eletronicos</t>
        </is>
      </c>
      <c r="B9" s="13" t="inlineStr">
        <is>
          <t>Incomum</t>
        </is>
      </c>
      <c r="C9" s="10" t="inlineStr">
        <is>
          <t>Placa, sensor, chip</t>
        </is>
      </c>
      <c r="D9" s="10" t="inlineStr">
        <is>
          <t>Nao se fabrica: so se desmonta de algo que ja existia.</t>
        </is>
      </c>
    </row>
    <row r="10">
      <c r="A10" s="18" t="inlineStr">
        <is>
          <t>Celula de Energia</t>
        </is>
      </c>
      <c r="B10" s="13" t="inlineStr">
        <is>
          <t>Incomum</t>
        </is>
      </c>
      <c r="C10" s="10" t="inlineStr">
        <is>
          <t>Bateria que ainda segura carga</t>
        </is>
      </c>
      <c r="D10" s="10" t="inlineStr">
        <is>
          <t>Disputa com o gerador do Refugio.</t>
        </is>
      </c>
    </row>
    <row r="11">
      <c r="A11" s="18" t="inlineStr">
        <is>
          <t>Liga Pre-Queda</t>
        </is>
      </c>
      <c r="B11" s="17" t="inlineStr">
        <is>
          <t>RARO</t>
        </is>
      </c>
      <c r="C11" s="10" t="inlineStr">
        <is>
          <t>Aco e titanio de qualidade militar</t>
        </is>
      </c>
      <c r="D11" s="10" t="inlineStr">
        <is>
          <t>O GARGALO PROPOSITAL: separa Gambiarra de Oficina. Nao se fabrica.</t>
        </is>
      </c>
    </row>
    <row r="13">
      <c r="A13" s="4" t="inlineStr">
        <is>
          <t>A lista e curta de proposito: componente demais vira contabilidade em vez de decisao.</t>
        </is>
      </c>
    </row>
    <row r="14">
      <c r="A14" s="4" t="inlineStr">
        <is>
          <t>Os mesmos oito componentes fabricam MODIFICACOES e CARGAS ESPECIAIS de municao.</t>
        </is>
      </c>
    </row>
    <row r="15">
      <c r="A15" s="4" t="inlineStr">
        <is>
          <t>A Liga Pre-Queda e o que puxa o grupo para fora do Refugio - a unica forma de ter Oficina de verdade e saquear.</t>
        </is>
      </c>
    </row>
    <row r="16">
      <c r="A16" s="4" t="n"/>
    </row>
    <row r="17">
      <c r="A17" s="4" t="inlineStr">
        <is>
          <t>REGRA GERAL DE PRODUCAO (Aprovacao 023): TUDO QUE SE FABRICA CONSOME COMPONENTE.</t>
        </is>
      </c>
    </row>
    <row r="18">
      <c r="A18" s="4" t="inlineStr">
        <is>
          <t xml:space="preserve">   Vale fora das Modificacoes - Soro de Campo do Medico (Quimica), municao artesanal, e qualquer receita futura.</t>
        </is>
      </c>
    </row>
    <row r="19">
      <c r="A19" s="4" t="inlineStr">
        <is>
          <t xml:space="preserve">   Por que e regra e nao caso a caso: 'um por descanso longo' sem custo de material e producao INFINITA,</t>
        </is>
      </c>
    </row>
    <row r="20">
      <c r="A20" s="4" t="inlineStr">
        <is>
          <t xml:space="preserve">   porque o descanso e renovavel e o componente nao. O componente transforma a frequencia em TETO, nao piso.</t>
        </is>
      </c>
    </row>
    <row r="21">
      <c r="A21" s="4" t="inlineStr">
        <is>
          <t xml:space="preserve">   Para implementadores: nenhuma receita pode ter lista de componentes vazia. Sem custo declarado = [A CALIBRAR],</t>
        </is>
      </c>
    </row>
    <row r="22">
      <c r="A22" s="4" t="inlineStr">
        <is>
          <t xml:space="preserve">   nunca 'de graca'. As QUANTIDADES por receita continuam [A CALIBRAR]; a regra fixa que existe custo, nao quanto.</t>
        </is>
      </c>
    </row>
    <row r="23">
      <c r="A23" s="4" t="n"/>
    </row>
    <row r="24">
      <c r="A24" s="4" t="inlineStr">
        <is>
          <t>APROVACAO 023 tambem separou os DOIS SOROS, que ate entao dividiam o mesmo nome:</t>
        </is>
      </c>
    </row>
    <row r="25">
      <c r="A25" s="4" t="inlineStr">
        <is>
          <t xml:space="preserve">   Soro Anti-Infeccao = raridade extrema, ZERA a Trilha inteira, trava de distribuicao do Diretor.</t>
        </is>
      </c>
    </row>
    <row r="26">
      <c r="A26" s="4" t="inlineStr">
        <is>
          <t xml:space="preserve">   Soro de Campo      = Medico nivel 14, um por descanso longo, custa Quimica, remove N pontos e NUNCA zera.</t>
        </is>
      </c>
    </row>
    <row r="27">
      <c r="A27" s="4" t="inlineStr">
        <is>
          <t xml:space="preserve">   Nao devem compartilhar identificador no motor.</t>
        </is>
      </c>
    </row>
    <row r="28">
      <c r="A28" s="4" t="n"/>
    </row>
    <row r="29">
      <c r="A29" s="4" t="inlineStr">
        <is>
          <t>A instalacao medica do Refugio chama-se ENFERMARIA. O nome 'Oficina medica' saiu do canon (Aprov. 023),</t>
        </is>
      </c>
    </row>
    <row r="30">
      <c r="A30" s="4" t="inlineStr">
        <is>
          <t xml:space="preserve">   e com isso a palavra OFICINA desceu de 3 para 2 sentidos - a primeira colisao resolvida por renomeacao.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22" customWidth="1" min="1" max="1"/>
    <col width="5" customWidth="1" min="2" max="2"/>
    <col width="7" customWidth="1" min="3" max="3"/>
    <col width="6" customWidth="1" min="4" max="4"/>
    <col width="8" customWidth="1" min="5" max="6"/>
    <col width="10" customWidth="1" min="7" max="7"/>
    <col width="14" customWidth="1" min="8" max="8"/>
    <col width="10" customWidth="1" min="9" max="9"/>
    <col width="9" customWidth="1" min="10" max="10"/>
    <col width="11" customWidth="1" min="11" max="11"/>
    <col width="7" customWidth="1" min="12" max="12"/>
    <col width="16" customWidth="1" min="13" max="13"/>
    <col width="26" customWidth="1" min="14" max="14"/>
    <col width="20" customWidth="1" min="15" max="15"/>
    <col width="16" customWidth="1" min="16" max="16"/>
    <col width="74" customWidth="1" min="17" max="17"/>
  </cols>
  <sheetData>
    <row r="1" ht="16.8" customHeight="1">
      <c r="A1" s="1" t="inlineStr">
        <is>
          <t>Bestiario MUTAGEN:ZERO - 18 criaturas (Aprovacao 025) + 20 novas, Bloco 5 (Aprovacao 035)</t>
        </is>
      </c>
    </row>
    <row r="2">
      <c r="A2" s="2" t="inlineStr">
        <is>
          <t>Regua canonica: Zumbi comum Defesa 14 / HP 12. Parametros do personagem: ataque +5, dano +3, Defesa 13, arma 1d8.</t>
        </is>
      </c>
    </row>
    <row r="3"/>
    <row r="4">
      <c r="A4" s="5" t="inlineStr">
        <is>
          <t>Criatura</t>
        </is>
      </c>
      <c r="B4" s="5" t="inlineStr">
        <is>
          <t>ND</t>
        </is>
      </c>
      <c r="C4" s="5" t="inlineStr">
        <is>
          <t>Custo</t>
        </is>
      </c>
      <c r="D4" s="5" t="inlineStr">
        <is>
          <t>HP</t>
        </is>
      </c>
      <c r="E4" s="5" t="inlineStr">
        <is>
          <t>Defesa</t>
        </is>
      </c>
      <c r="F4" s="5" t="inlineStr">
        <is>
          <t>Ataque</t>
        </is>
      </c>
      <c r="G4" s="5" t="inlineStr">
        <is>
          <t>Dano</t>
        </is>
      </c>
      <c r="H4" s="5" t="inlineStr">
        <is>
          <t>Tipo de dano</t>
        </is>
      </c>
      <c r="I4" s="5" t="inlineStr">
        <is>
          <t>Mov (hex)</t>
        </is>
      </c>
      <c r="J4" s="5" t="inlineStr">
        <is>
          <t>Tamanho</t>
        </is>
      </c>
      <c r="K4" s="5" t="inlineStr">
        <is>
          <t>Gera Infec.</t>
        </is>
      </c>
      <c r="L4" s="5" t="inlineStr">
        <is>
          <t>Uiva</t>
        </is>
      </c>
      <c r="M4" s="5" t="inlineStr">
        <is>
          <t>Vulneravel</t>
        </is>
      </c>
      <c r="N4" s="5" t="inlineStr">
        <is>
          <t>Resistente</t>
        </is>
      </c>
      <c r="O4" s="5" t="inlineStr">
        <is>
          <t>MUITO Resist.</t>
        </is>
      </c>
      <c r="P4" s="5" t="inlineStr">
        <is>
          <t>IMUNE</t>
        </is>
      </c>
      <c r="Q4" s="5" t="inlineStr">
        <is>
          <t>Habilidade</t>
        </is>
      </c>
    </row>
    <row r="5">
      <c r="A5" s="18" t="inlineStr">
        <is>
          <t>Zumbi</t>
        </is>
      </c>
      <c r="B5" s="13" t="n">
        <v>0</v>
      </c>
      <c r="C5" s="13" t="n">
        <v>1</v>
      </c>
      <c r="D5" s="13" t="n">
        <v>12</v>
      </c>
      <c r="E5" s="13" t="n">
        <v>14</v>
      </c>
      <c r="F5" s="13" t="inlineStr">
        <is>
          <t>+4</t>
        </is>
      </c>
      <c r="G5" s="10" t="inlineStr">
        <is>
          <t>1d6</t>
        </is>
      </c>
      <c r="H5" s="10" t="inlineStr">
        <is>
          <t>Necrotico</t>
        </is>
      </c>
      <c r="I5" s="13" t="n">
        <v>4</v>
      </c>
      <c r="J5" s="10" t="inlineStr">
        <is>
          <t>Medio</t>
        </is>
      </c>
      <c r="K5" s="13" t="inlineStr">
        <is>
          <t>SIM</t>
        </is>
      </c>
      <c r="L5" s="13" t="inlineStr">
        <is>
          <t>-</t>
        </is>
      </c>
      <c r="M5" s="10" t="inlineStr">
        <is>
          <t>Fogo</t>
        </is>
      </c>
      <c r="N5" s="10" t="inlineStr">
        <is>
          <t>Perfurante, Balistico</t>
        </is>
      </c>
      <c r="O5" s="10" t="n"/>
      <c r="P5" s="10" t="n"/>
      <c r="Q5" s="19" t="inlineStr">
        <is>
          <t>A REGUA. Anda 4 hex contra 6 do personagem: recuar e sempre opcao.</t>
        </is>
      </c>
    </row>
    <row r="6">
      <c r="A6" s="18" t="inlineStr">
        <is>
          <t>Cachorro Zumbi</t>
        </is>
      </c>
      <c r="B6" s="13" t="n">
        <v>0</v>
      </c>
      <c r="C6" s="13" t="n">
        <v>1</v>
      </c>
      <c r="D6" s="13" t="n">
        <v>8</v>
      </c>
      <c r="E6" s="13" t="n">
        <v>15</v>
      </c>
      <c r="F6" s="13" t="inlineStr">
        <is>
          <t>+5</t>
        </is>
      </c>
      <c r="G6" s="10" t="inlineStr">
        <is>
          <t>1d4</t>
        </is>
      </c>
      <c r="H6" s="10" t="inlineStr">
        <is>
          <t>Necrotico</t>
        </is>
      </c>
      <c r="I6" s="13" t="n">
        <v>8</v>
      </c>
      <c r="J6" s="10" t="inlineStr">
        <is>
          <t>Miudo</t>
        </is>
      </c>
      <c r="K6" s="13" t="inlineStr">
        <is>
          <t>SIM</t>
        </is>
      </c>
      <c r="L6" s="13" t="inlineStr">
        <is>
          <t>-</t>
        </is>
      </c>
      <c r="M6" s="10" t="inlineStr">
        <is>
          <t>Fogo</t>
        </is>
      </c>
      <c r="N6" s="10" t="n"/>
      <c r="O6" s="10" t="n"/>
      <c r="P6" s="10" t="n"/>
      <c r="Q6" s="19" t="inlineStr">
        <is>
          <t>Matilha: Vantagem se um aliado esta adjacente ao mesmo alvo.</t>
        </is>
      </c>
    </row>
    <row r="7" ht="26.4" customHeight="1">
      <c r="A7" s="18" t="inlineStr">
        <is>
          <t>Zumbi Resistente</t>
        </is>
      </c>
      <c r="B7" s="13" t="n">
        <v>1</v>
      </c>
      <c r="C7" s="13" t="n">
        <v>2</v>
      </c>
      <c r="D7" s="13" t="n">
        <v>14</v>
      </c>
      <c r="E7" s="13" t="n">
        <v>16</v>
      </c>
      <c r="F7" s="13" t="inlineStr">
        <is>
          <t>+4</t>
        </is>
      </c>
      <c r="G7" s="10" t="inlineStr">
        <is>
          <t>1d6</t>
        </is>
      </c>
      <c r="H7" s="10" t="inlineStr">
        <is>
          <t>Necrotico</t>
        </is>
      </c>
      <c r="I7" s="13" t="n">
        <v>4</v>
      </c>
      <c r="J7" s="10" t="inlineStr">
        <is>
          <t>Medio</t>
        </is>
      </c>
      <c r="K7" s="13" t="inlineStr">
        <is>
          <t>SIM</t>
        </is>
      </c>
      <c r="L7" s="13" t="inlineStr">
        <is>
          <t>-</t>
        </is>
      </c>
      <c r="M7" s="10" t="inlineStr">
        <is>
          <t>CONCUSSAO</t>
        </is>
      </c>
      <c r="N7" s="10" t="n"/>
      <c r="O7" s="10" t="inlineStr">
        <is>
          <t>Perfurante, Balistico</t>
        </is>
      </c>
      <c r="P7" s="10" t="n"/>
      <c r="Q7" s="19" t="inlineStr">
        <is>
          <t>Placas sao blindagem, nao carne: quase nao ganhou HP. Da sujeito ao grau Muito Resistente.</t>
        </is>
      </c>
    </row>
    <row r="8" ht="26.4" customHeight="1">
      <c r="A8" s="18" t="inlineStr">
        <is>
          <t>Zumbi Cibernetico</t>
        </is>
      </c>
      <c r="B8" s="13" t="n">
        <v>1</v>
      </c>
      <c r="C8" s="13" t="n">
        <v>1.5</v>
      </c>
      <c r="D8" s="13" t="n">
        <v>14</v>
      </c>
      <c r="E8" s="13" t="n">
        <v>15</v>
      </c>
      <c r="F8" s="13" t="inlineStr">
        <is>
          <t>+5</t>
        </is>
      </c>
      <c r="G8" s="10" t="inlineStr">
        <is>
          <t>1d6</t>
        </is>
      </c>
      <c r="H8" s="10" t="inlineStr">
        <is>
          <t>Necrotico</t>
        </is>
      </c>
      <c r="I8" s="13" t="n">
        <v>5</v>
      </c>
      <c r="J8" s="10" t="inlineStr">
        <is>
          <t>Medio</t>
        </is>
      </c>
      <c r="K8" s="13" t="inlineStr">
        <is>
          <t>SIM</t>
        </is>
      </c>
      <c r="L8" s="13" t="inlineStr">
        <is>
          <t>-</t>
        </is>
      </c>
      <c r="M8" s="10" t="inlineStr">
        <is>
          <t>Eletrico/EMP</t>
        </is>
      </c>
      <c r="N8" s="10" t="inlineStr">
        <is>
          <t>Perfurante, Necrotico, Quimico</t>
        </is>
      </c>
      <c r="O8" s="10" t="n"/>
      <c r="P8" s="10" t="n"/>
      <c r="Q8" s="19" t="inlineStr">
        <is>
          <t>Usa cobertura: ataque a distancia contra ele rola com Desvantagem. Empurra o grupo para o corpo a corpo.</t>
        </is>
      </c>
    </row>
    <row r="9">
      <c r="A9" s="18" t="inlineStr">
        <is>
          <t>Maratonista</t>
        </is>
      </c>
      <c r="B9" s="13" t="n">
        <v>1</v>
      </c>
      <c r="C9" s="13" t="n">
        <v>1</v>
      </c>
      <c r="D9" s="13" t="n">
        <v>10</v>
      </c>
      <c r="E9" s="13" t="n">
        <v>15</v>
      </c>
      <c r="F9" s="13" t="inlineStr">
        <is>
          <t>+5</t>
        </is>
      </c>
      <c r="G9" s="10" t="inlineStr">
        <is>
          <t>1d6</t>
        </is>
      </c>
      <c r="H9" s="10" t="inlineStr">
        <is>
          <t>Necrotico</t>
        </is>
      </c>
      <c r="I9" s="13" t="n">
        <v>10</v>
      </c>
      <c r="J9" s="10" t="inlineStr">
        <is>
          <t>Medio</t>
        </is>
      </c>
      <c r="K9" s="13" t="inlineStr">
        <is>
          <t>SIM</t>
        </is>
      </c>
      <c r="L9" s="13" t="inlineStr">
        <is>
          <t>-</t>
        </is>
      </c>
      <c r="M9" s="10" t="inlineStr">
        <is>
          <t>Fogo</t>
        </is>
      </c>
      <c r="N9" s="10" t="n"/>
      <c r="O9" s="10" t="n"/>
      <c r="P9" s="10" t="n"/>
      <c r="Q9" s="19" t="inlineStr">
        <is>
          <t>Investida: fecha do alcance de rifle ate o corpo a corpo em um turno. Anula o alcance.</t>
        </is>
      </c>
    </row>
    <row r="10" ht="26.4" customHeight="1">
      <c r="A10" s="18" t="inlineStr">
        <is>
          <t>Arrastador</t>
        </is>
      </c>
      <c r="B10" s="13" t="n">
        <v>1</v>
      </c>
      <c r="C10" s="13" t="n">
        <v>1</v>
      </c>
      <c r="D10" s="13" t="n">
        <v>10</v>
      </c>
      <c r="E10" s="13" t="n">
        <v>13</v>
      </c>
      <c r="F10" s="13" t="inlineStr">
        <is>
          <t>+5</t>
        </is>
      </c>
      <c r="G10" s="10" t="inlineStr">
        <is>
          <t>1d6</t>
        </is>
      </c>
      <c r="H10" s="10" t="inlineStr">
        <is>
          <t>Necrotico</t>
        </is>
      </c>
      <c r="I10" s="13" t="n">
        <v>3</v>
      </c>
      <c r="J10" s="10" t="inlineStr">
        <is>
          <t>Miudo</t>
        </is>
      </c>
      <c r="K10" s="13" t="inlineStr">
        <is>
          <t>SIM</t>
        </is>
      </c>
      <c r="L10" s="13" t="inlineStr">
        <is>
          <t>-</t>
        </is>
      </c>
      <c r="M10" s="10" t="inlineStr">
        <is>
          <t>Fogo</t>
        </is>
      </c>
      <c r="N10" s="10" t="inlineStr">
        <is>
          <t>Perfurante, Balistico</t>
        </is>
      </c>
      <c r="O10" s="10" t="n"/>
      <c r="P10" s="10" t="n"/>
      <c r="Q10" s="19" t="inlineStr">
        <is>
          <t>Emboscada: comeca Escondido, Percepcao CD 14 para achar, 1o ataque com Vantagem. Tornozelo: AGI CD 13 ou Agarrado.</t>
        </is>
      </c>
    </row>
    <row r="11" ht="26.4" customHeight="1">
      <c r="A11" s="18" t="inlineStr">
        <is>
          <t>Vigia</t>
        </is>
      </c>
      <c r="B11" s="13" t="n">
        <v>1</v>
      </c>
      <c r="C11" s="13" t="n">
        <v>0</v>
      </c>
      <c r="D11" s="13" t="n">
        <v>12</v>
      </c>
      <c r="E11" s="13" t="n">
        <v>15</v>
      </c>
      <c r="F11" s="13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3" t="n">
        <v>8</v>
      </c>
      <c r="J11" s="10" t="inlineStr">
        <is>
          <t>Medio</t>
        </is>
      </c>
      <c r="K11" s="22" t="inlineStr">
        <is>
          <t>NAO</t>
        </is>
      </c>
      <c r="L11" s="13" t="inlineStr">
        <is>
          <t>-</t>
        </is>
      </c>
      <c r="M11" s="10" t="inlineStr">
        <is>
          <t>Fogo</t>
        </is>
      </c>
      <c r="N11" s="10" t="n"/>
      <c r="O11" s="10" t="n"/>
      <c r="P11" s="10" t="n"/>
      <c r="Q11" s="19" t="inlineStr">
        <is>
          <t>NAO ATACA. Alarme: foge para a borda; se sair do mapa o Medidor de Horda sobe +10.</t>
        </is>
      </c>
    </row>
    <row r="12" ht="26.4" customHeight="1">
      <c r="A12" s="18" t="inlineStr">
        <is>
          <t>Saqueador Humano</t>
        </is>
      </c>
      <c r="B12" s="13" t="n">
        <v>1</v>
      </c>
      <c r="C12" s="13" t="n">
        <v>0.5</v>
      </c>
      <c r="D12" s="13" t="n">
        <v>16</v>
      </c>
      <c r="E12" s="13" t="n">
        <v>14</v>
      </c>
      <c r="F12" s="13" t="inlineStr">
        <is>
          <t>+5</t>
        </is>
      </c>
      <c r="G12" s="10" t="inlineStr">
        <is>
          <t>1d6</t>
        </is>
      </c>
      <c r="H12" s="10" t="inlineStr">
        <is>
          <t>Balistico</t>
        </is>
      </c>
      <c r="I12" s="13" t="n">
        <v>6</v>
      </c>
      <c r="J12" s="10" t="inlineStr">
        <is>
          <t>Medio</t>
        </is>
      </c>
      <c r="K12" s="22" t="inlineStr">
        <is>
          <t>NAO</t>
        </is>
      </c>
      <c r="L12" s="13" t="inlineStr">
        <is>
          <t>-</t>
        </is>
      </c>
      <c r="M12" s="10" t="n"/>
      <c r="N12" s="10" t="inlineStr">
        <is>
          <t>o que a armadura der</t>
        </is>
      </c>
      <c r="O12" s="10" t="n"/>
      <c r="P12" s="10" t="n"/>
      <c r="Q12" s="19" t="inlineStr">
        <is>
          <t>Usa o CATALOGO DE ARMAS inteiro (e o Ruido delas). Negociavel: Persuasao ou Intimidacao CD 15 encerra o combate.</t>
        </is>
      </c>
    </row>
    <row r="13" ht="26.4" customHeight="1">
      <c r="A13" s="18" t="inlineStr">
        <is>
          <t>Mutante</t>
        </is>
      </c>
      <c r="B13" s="13" t="n">
        <v>2</v>
      </c>
      <c r="C13" s="13" t="n">
        <v>6.5</v>
      </c>
      <c r="D13" s="13" t="n">
        <v>28</v>
      </c>
      <c r="E13" s="13" t="n">
        <v>15</v>
      </c>
      <c r="F13" s="13" t="inlineStr">
        <is>
          <t>+7</t>
        </is>
      </c>
      <c r="G13" s="10" t="inlineStr">
        <is>
          <t>1d8+2</t>
        </is>
      </c>
      <c r="H13" s="10" t="inlineStr">
        <is>
          <t>Necrotico</t>
        </is>
      </c>
      <c r="I13" s="13" t="n">
        <v>5</v>
      </c>
      <c r="J13" s="10" t="inlineStr">
        <is>
          <t>Medio</t>
        </is>
      </c>
      <c r="K13" s="13" t="inlineStr">
        <is>
          <t>SIM</t>
        </is>
      </c>
      <c r="L13" s="13" t="inlineStr">
        <is>
          <t>-</t>
        </is>
      </c>
      <c r="M13" s="10" t="inlineStr">
        <is>
          <t>FOGO</t>
        </is>
      </c>
      <c r="N13" s="10" t="inlineStr">
        <is>
          <t>Perfurante, Necrotico</t>
        </is>
      </c>
      <c r="O13" s="10" t="n"/>
      <c r="P13" s="10" t="n"/>
      <c r="Q13" s="19" t="inlineStr">
        <is>
          <t>Regeneracao: cura 5 HP no inicio do turno, ANULADA se sofreu Fogo desde o turno anterior.</t>
        </is>
      </c>
    </row>
    <row r="14" ht="26.4" customHeight="1">
      <c r="A14" s="18" t="inlineStr">
        <is>
          <t>Uivante</t>
        </is>
      </c>
      <c r="B14" s="13" t="n">
        <v>2</v>
      </c>
      <c r="C14" s="13" t="n">
        <v>3</v>
      </c>
      <c r="D14" s="13" t="n">
        <v>20</v>
      </c>
      <c r="E14" s="13" t="n">
        <v>14</v>
      </c>
      <c r="F14" s="13" t="inlineStr">
        <is>
          <t>+5</t>
        </is>
      </c>
      <c r="G14" s="10" t="inlineStr">
        <is>
          <t>1d6</t>
        </is>
      </c>
      <c r="H14" s="10" t="inlineStr">
        <is>
          <t>Necrotico</t>
        </is>
      </c>
      <c r="I14" s="13" t="n">
        <v>4</v>
      </c>
      <c r="J14" s="10" t="inlineStr">
        <is>
          <t>Medio</t>
        </is>
      </c>
      <c r="K14" s="13" t="inlineStr">
        <is>
          <t>SIM</t>
        </is>
      </c>
      <c r="L14" s="13" t="inlineStr">
        <is>
          <t>SIM</t>
        </is>
      </c>
      <c r="M14" s="10" t="inlineStr">
        <is>
          <t>Fogo</t>
        </is>
      </c>
      <c r="N14" s="10" t="n"/>
      <c r="O14" s="10" t="n"/>
      <c r="P14" s="10" t="n"/>
      <c r="Q14" s="19" t="inlineStr">
        <is>
          <t>Uivo: gasta a Acao, Ruido ALTO (3), gera Atracao em raio amplo. A TESE DO JOGO: nenhuma resposta e gratis.</t>
        </is>
      </c>
    </row>
    <row r="15" ht="26.4" customHeight="1">
      <c r="A15" s="18" t="inlineStr">
        <is>
          <t>Cachorro Explosivo</t>
        </is>
      </c>
      <c r="B15" s="13" t="n">
        <v>2</v>
      </c>
      <c r="C15" s="13" t="n">
        <v>0.5</v>
      </c>
      <c r="D15" s="13" t="n">
        <v>8</v>
      </c>
      <c r="E15" s="13" t="n">
        <v>15</v>
      </c>
      <c r="F15" s="13" t="inlineStr">
        <is>
          <t>-</t>
        </is>
      </c>
      <c r="G15" s="10" t="inlineStr">
        <is>
          <t>3d6</t>
        </is>
      </c>
      <c r="H15" s="10" t="inlineStr">
        <is>
          <t>Fogo+Concussao</t>
        </is>
      </c>
      <c r="I15" s="13" t="n">
        <v>10</v>
      </c>
      <c r="J15" s="10" t="inlineStr">
        <is>
          <t>Miudo</t>
        </is>
      </c>
      <c r="K15" s="22" t="inlineStr">
        <is>
          <t>NAO</t>
        </is>
      </c>
      <c r="L15" s="13" t="inlineStr">
        <is>
          <t>aprox. ALTA</t>
        </is>
      </c>
      <c r="M15" s="10" t="inlineStr">
        <is>
          <t>Fogo (e um presente)</t>
        </is>
      </c>
      <c r="N15" s="10" t="n"/>
      <c r="O15" s="10" t="n"/>
      <c r="P15" s="10" t="n"/>
      <c r="Q15" s="19" t="inlineStr">
        <is>
          <t>NAO ATACA: detona ao chegar adjacente. Raio 2 hex, AGI CD 14 para metade. Matar com fogo a distancia = detona longe.</t>
        </is>
      </c>
    </row>
    <row r="16" ht="26.4" customHeight="1">
      <c r="A16" s="18" t="inlineStr">
        <is>
          <t>Touro Mecanico</t>
        </is>
      </c>
      <c r="B16" s="13" t="n">
        <v>2</v>
      </c>
      <c r="C16" s="13" t="n">
        <v>3.5</v>
      </c>
      <c r="D16" s="13" t="n">
        <v>35</v>
      </c>
      <c r="E16" s="13" t="n">
        <v>15</v>
      </c>
      <c r="F16" s="13" t="inlineStr">
        <is>
          <t>+7</t>
        </is>
      </c>
      <c r="G16" s="10" t="inlineStr">
        <is>
          <t>2d8</t>
        </is>
      </c>
      <c r="H16" s="10" t="inlineStr">
        <is>
          <t>Concussao</t>
        </is>
      </c>
      <c r="I16" s="13" t="n">
        <v>6</v>
      </c>
      <c r="J16" s="10" t="inlineStr">
        <is>
          <t>GRANDE</t>
        </is>
      </c>
      <c r="K16" s="22" t="inlineStr">
        <is>
          <t>NAO</t>
        </is>
      </c>
      <c r="L16" s="13" t="inlineStr">
        <is>
          <t>-</t>
        </is>
      </c>
      <c r="M16" s="10" t="inlineStr">
        <is>
          <t>Eletrico/EMP</t>
        </is>
      </c>
      <c r="N16" s="10" t="inlineStr">
        <is>
          <t>Perfurante, Balistico</t>
        </is>
      </c>
      <c r="O16" s="10" t="n"/>
      <c r="P16" s="10" t="n"/>
      <c r="Q16" s="19" t="inlineStr">
        <is>
          <t>Investida: 6+ hex reto, alvo testa FOR CD 15 ou e empurrado 3 hex e fica Caido. PRIMEIRA criatura Grande: destrava o Extrator.</t>
        </is>
      </c>
    </row>
    <row r="17" ht="26.4" customHeight="1">
      <c r="A17" s="18" t="inlineStr">
        <is>
          <t>Casulo</t>
        </is>
      </c>
      <c r="B17" s="13" t="n">
        <v>2</v>
      </c>
      <c r="C17" s="13" t="n">
        <v>8</v>
      </c>
      <c r="D17" s="13" t="n">
        <v>25</v>
      </c>
      <c r="E17" s="13" t="n">
        <v>10</v>
      </c>
      <c r="F17" s="13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3" t="n">
        <v>0</v>
      </c>
      <c r="J17" s="10" t="inlineStr">
        <is>
          <t>GRANDE</t>
        </is>
      </c>
      <c r="K17" s="22" t="inlineStr">
        <is>
          <t>NAO</t>
        </is>
      </c>
      <c r="L17" s="13" t="inlineStr">
        <is>
          <t>-</t>
        </is>
      </c>
      <c r="M17" s="10" t="inlineStr">
        <is>
          <t>FOGO</t>
        </is>
      </c>
      <c r="N17" s="10" t="inlineStr">
        <is>
          <t>Perfurante, Balistico</t>
        </is>
      </c>
      <c r="O17" s="10" t="n"/>
      <c r="P17" s="10" t="n"/>
      <c r="Q17" s="19" t="inlineStr">
        <is>
          <t>IMOVEL, nao ataca. Gestacao: gera 1 Zumbi (ND 0) ao fim de cada rodada. Um cronometro com HP.</t>
        </is>
      </c>
    </row>
    <row r="18" ht="26.4" customHeight="1">
      <c r="A18" s="18" t="inlineStr">
        <is>
          <t>Zumbi de Sangue</t>
        </is>
      </c>
      <c r="B18" s="13" t="n">
        <v>3</v>
      </c>
      <c r="C18" s="13" t="n">
        <v>18</v>
      </c>
      <c r="D18" s="13" t="n">
        <v>30</v>
      </c>
      <c r="E18" s="13" t="n">
        <v>14</v>
      </c>
      <c r="F18" s="13" t="inlineStr">
        <is>
          <t>+6</t>
        </is>
      </c>
      <c r="G18" s="10" t="inlineStr">
        <is>
          <t>1d6</t>
        </is>
      </c>
      <c r="H18" s="10" t="inlineStr">
        <is>
          <t>Necrotico</t>
        </is>
      </c>
      <c r="I18" s="13" t="n">
        <v>4</v>
      </c>
      <c r="J18" s="10" t="inlineStr">
        <is>
          <t>Medio</t>
        </is>
      </c>
      <c r="K18" s="13" t="inlineStr">
        <is>
          <t>SIM</t>
        </is>
      </c>
      <c r="L18" s="13" t="inlineStr">
        <is>
          <t>-</t>
        </is>
      </c>
      <c r="M18" s="10" t="inlineStr">
        <is>
          <t>Fogo</t>
        </is>
      </c>
      <c r="N18" s="10" t="n"/>
      <c r="O18" s="10" t="n"/>
      <c r="P18" s="10" t="n"/>
      <c r="Q18" s="19" t="inlineStr">
        <is>
          <t>Explosao ao morrer: 2 hex, AGI CD 14, falha = 2d6 Necrotico +2 Infeccao. ZUMBIS NO RAIO CURAM 2d6. Anti-corpo-a-corpo.</t>
        </is>
      </c>
    </row>
    <row r="19" ht="26.4" customHeight="1">
      <c r="A19" s="18" t="inlineStr">
        <is>
          <t>Doutora Zumbi</t>
        </is>
      </c>
      <c r="B19" s="13" t="n">
        <v>3</v>
      </c>
      <c r="C19" s="13" t="n">
        <v>5</v>
      </c>
      <c r="D19" s="13" t="n">
        <v>24</v>
      </c>
      <c r="E19" s="13" t="n">
        <v>14</v>
      </c>
      <c r="F19" s="13" t="inlineStr">
        <is>
          <t>+6</t>
        </is>
      </c>
      <c r="G19" s="10" t="inlineStr">
        <is>
          <t>1d6</t>
        </is>
      </c>
      <c r="H19" s="10" t="inlineStr">
        <is>
          <t>Necrotico</t>
        </is>
      </c>
      <c r="I19" s="13" t="n">
        <v>5</v>
      </c>
      <c r="J19" s="10" t="inlineStr">
        <is>
          <t>Medio</t>
        </is>
      </c>
      <c r="K19" s="13" t="inlineStr">
        <is>
          <t>SIM</t>
        </is>
      </c>
      <c r="L19" s="13" t="inlineStr">
        <is>
          <t>-</t>
        </is>
      </c>
      <c r="M19" s="10" t="inlineStr">
        <is>
          <t>Fogo</t>
        </is>
      </c>
      <c r="N19" s="10" t="inlineStr">
        <is>
          <t>Perfurante</t>
        </is>
      </c>
      <c r="O19" s="10" t="n"/>
      <c r="P19" s="10" t="n"/>
      <c r="Q19" s="19" t="inlineStr">
        <is>
          <t>Tratamento: gasta a Acao para curar 2d6 num zumbi/mutante adjacente. Alvo prioritario no 2, depois do Uivante.</t>
        </is>
      </c>
    </row>
    <row r="20" ht="26.4" customHeight="1">
      <c r="A20" s="18" t="inlineStr">
        <is>
          <t>Zumbi Venenoso</t>
        </is>
      </c>
      <c r="B20" s="17" t="n">
        <v>4</v>
      </c>
      <c r="C20" s="13" t="n">
        <v>30</v>
      </c>
      <c r="D20" s="13" t="n">
        <v>45</v>
      </c>
      <c r="E20" s="13" t="n">
        <v>15</v>
      </c>
      <c r="F20" s="13" t="inlineStr">
        <is>
          <t>+10</t>
        </is>
      </c>
      <c r="G20" s="10" t="inlineStr">
        <is>
          <t>1d8+2</t>
        </is>
      </c>
      <c r="H20" s="10" t="inlineStr">
        <is>
          <t>Necrotico</t>
        </is>
      </c>
      <c r="I20" s="13" t="n">
        <v>4</v>
      </c>
      <c r="J20" s="10" t="inlineStr">
        <is>
          <t>Medio</t>
        </is>
      </c>
      <c r="K20" s="13" t="inlineStr">
        <is>
          <t>SIM</t>
        </is>
      </c>
      <c r="L20" s="13" t="inlineStr">
        <is>
          <t>-</t>
        </is>
      </c>
      <c r="M20" s="10" t="inlineStr">
        <is>
          <t>FOGO</t>
        </is>
      </c>
      <c r="N20" s="10" t="inlineStr">
        <is>
          <t>Perfurante, Balistico</t>
        </is>
      </c>
      <c r="O20" s="10" t="n"/>
      <c r="P20" s="25" t="inlineStr">
        <is>
          <t>QUIMICO</t>
        </is>
      </c>
      <c r="Q20" s="19" t="inlineStr">
        <is>
          <t>AURA (2 hex): quem COMECA o turno dentro sofre 1d6 Quimico e testa CON CD 14 ou ganha 1 Infeccao. UNICA imune a dano no MVP.</t>
        </is>
      </c>
    </row>
    <row r="21" ht="26.4" customHeight="1">
      <c r="A21" s="18" t="inlineStr">
        <is>
          <t>Cuspidor</t>
        </is>
      </c>
      <c r="B21" s="17" t="n">
        <v>4</v>
      </c>
      <c r="C21" s="13" t="n">
        <v>3.5</v>
      </c>
      <c r="D21" s="13" t="n">
        <v>35</v>
      </c>
      <c r="E21" s="13" t="n">
        <v>14</v>
      </c>
      <c r="F21" s="13" t="inlineStr">
        <is>
          <t>+10</t>
        </is>
      </c>
      <c r="G21" s="10" t="inlineStr">
        <is>
          <t>2d6</t>
        </is>
      </c>
      <c r="H21" s="10" t="inlineStr">
        <is>
          <t>Quimico</t>
        </is>
      </c>
      <c r="I21" s="13" t="n">
        <v>3</v>
      </c>
      <c r="J21" s="10" t="inlineStr">
        <is>
          <t>Medio</t>
        </is>
      </c>
      <c r="K21" s="22" t="inlineStr">
        <is>
          <t>NAO</t>
        </is>
      </c>
      <c r="L21" s="13" t="inlineStr">
        <is>
          <t>-</t>
        </is>
      </c>
      <c r="M21" s="10" t="inlineStr">
        <is>
          <t>Fogo</t>
        </is>
      </c>
      <c r="N21" s="10" t="inlineStr">
        <is>
          <t>Quimico (NAO imune)</t>
        </is>
      </c>
      <c r="O21" s="10" t="n"/>
      <c r="P21" s="10" t="n"/>
      <c r="Q21" s="19" t="inlineStr">
        <is>
          <t>Ataca a 8 HEX. Cuspe corrosivo ignora meia cobertura. Produz acido mas nao E feito dele: por isso Resistente, nao Imune.</t>
        </is>
      </c>
    </row>
    <row r="22" ht="26.4" customHeight="1">
      <c r="A22" s="18" t="inlineStr">
        <is>
          <t>Gigante Mutagenico</t>
        </is>
      </c>
      <c r="B22" s="17" t="n">
        <v>5</v>
      </c>
      <c r="C22" s="13" t="n">
        <v>132</v>
      </c>
      <c r="D22" s="13" t="n">
        <v>80</v>
      </c>
      <c r="E22" s="13" t="n">
        <v>16</v>
      </c>
      <c r="F22" s="13" t="inlineStr">
        <is>
          <t>+11</t>
        </is>
      </c>
      <c r="G22" s="10" t="inlineStr">
        <is>
          <t>2d8+4</t>
        </is>
      </c>
      <c r="H22" s="10" t="inlineStr">
        <is>
          <t>Necrotico</t>
        </is>
      </c>
      <c r="I22" s="13" t="n">
        <v>5</v>
      </c>
      <c r="J22" s="10" t="inlineStr">
        <is>
          <t>ENORME</t>
        </is>
      </c>
      <c r="K22" s="13" t="inlineStr">
        <is>
          <t>SIM</t>
        </is>
      </c>
      <c r="L22" s="13" t="inlineStr">
        <is>
          <t>-</t>
        </is>
      </c>
      <c r="M22" s="10" t="inlineStr">
        <is>
          <t>FOGO</t>
        </is>
      </c>
      <c r="N22" s="10" t="inlineStr">
        <is>
          <t>Perfurante, Balistico, Concussao</t>
        </is>
      </c>
      <c r="O22" s="10" t="n"/>
      <c r="P22" s="25" t="inlineStr">
        <is>
          <t>Agarrado, Enganchar (condicao, por tamanho)</t>
        </is>
      </c>
      <c r="Q22" s="19" t="inlineStr">
        <is>
          <t>DUAS ACOES. Miasma (1 hex): 1 Infeccao por turno, sem teste. CISAO: a 0 HP vira 4 Zumbis. A luta tem dois atos.</t>
        </is>
      </c>
    </row>
    <row r="23">
      <c r="A23" t="inlineStr">
        <is>
          <t>Rastejante</t>
        </is>
      </c>
      <c r="B23" t="n">
        <v>0</v>
      </c>
      <c r="C23" t="n">
        <v>1</v>
      </c>
      <c r="D23" t="n">
        <v>10</v>
      </c>
      <c r="E23" t="n">
        <v>12</v>
      </c>
      <c r="F23" t="inlineStr">
        <is>
          <t>+4</t>
        </is>
      </c>
      <c r="G23" t="inlineStr">
        <is>
          <t>1d6</t>
        </is>
      </c>
      <c r="H23" t="inlineStr">
        <is>
          <t>Necrotico</t>
        </is>
      </c>
      <c r="I23" t="n">
        <v>2</v>
      </c>
      <c r="J23" t="inlineStr">
        <is>
          <t>Miudo</t>
        </is>
      </c>
      <c r="K23" t="inlineStr">
        <is>
          <t>SIM</t>
        </is>
      </c>
      <c r="L23" t="inlineStr">
        <is>
          <t>NAO</t>
        </is>
      </c>
      <c r="M23" t="inlineStr">
        <is>
          <t>Fogo</t>
        </is>
      </c>
      <c r="N23" t="inlineStr">
        <is>
          <t>Perfurante, Balistico</t>
        </is>
      </c>
      <c r="Q23" t="inlineStr">
        <is>
          <t>Emboscada Rasteira: Escondido sob cobertura baixa, Percepcao CD14, 1o ataque com Vantagem. Versao ND0 do Arrastador, sem Tornozelo e so 2 hex de movimento.</t>
        </is>
      </c>
    </row>
    <row r="24">
      <c r="A24" t="inlineStr">
        <is>
          <t>Zumbi Inchado</t>
        </is>
      </c>
      <c r="B24" t="n">
        <v>1</v>
      </c>
      <c r="C24" t="n">
        <v>2</v>
      </c>
      <c r="D24" t="n">
        <v>14</v>
      </c>
      <c r="E24" t="n">
        <v>14</v>
      </c>
      <c r="F24" t="inlineStr">
        <is>
          <t>+5</t>
        </is>
      </c>
      <c r="G24" t="inlineStr">
        <is>
          <t>1d6</t>
        </is>
      </c>
      <c r="H24" t="inlineStr">
        <is>
          <t>Necrotico</t>
        </is>
      </c>
      <c r="I24" t="n">
        <v>4</v>
      </c>
      <c r="J24" t="inlineStr">
        <is>
          <t>Medio</t>
        </is>
      </c>
      <c r="K24" t="inlineStr">
        <is>
          <t>SIM</t>
        </is>
      </c>
      <c r="L24" t="inlineStr">
        <is>
          <t>NAO</t>
        </is>
      </c>
      <c r="M24" t="inlineStr">
        <is>
          <t>Fogo</t>
        </is>
      </c>
      <c r="Q24" t="inlineStr">
        <is>
          <t>Nuvem de Gas ao morrer: raio 1 hex, CON CD13, falha = 2d4 Quimico (sucesso = metade). NAO gera Infeccao pela explosao, so pela mordida.</t>
        </is>
      </c>
    </row>
    <row r="25">
      <c r="A25" t="inlineStr">
        <is>
          <t>Enxame de Ratos Mutantes</t>
        </is>
      </c>
      <c r="B25" t="n">
        <v>1</v>
      </c>
      <c r="C25" t="n">
        <v>0.5</v>
      </c>
      <c r="D25" t="n">
        <v>10</v>
      </c>
      <c r="E25" t="n">
        <v>12</v>
      </c>
      <c r="F25" t="inlineStr">
        <is>
          <t>+5 (Vantagem)</t>
        </is>
      </c>
      <c r="G25" t="inlineStr">
        <is>
          <t>1d6</t>
        </is>
      </c>
      <c r="H25" t="inlineStr">
        <is>
          <t>Perfurante</t>
        </is>
      </c>
      <c r="I25" t="n">
        <v>6</v>
      </c>
      <c r="J25" t="inlineStr">
        <is>
          <t>Miudo</t>
        </is>
      </c>
      <c r="K25" t="inlineStr">
        <is>
          <t>NAO</t>
        </is>
      </c>
      <c r="L25" t="inlineStr">
        <is>
          <t>NAO</t>
        </is>
      </c>
      <c r="M25" t="inlineStr">
        <is>
          <t>Concussao</t>
        </is>
      </c>
      <c r="Q25" t="inlineStr">
        <is>
          <t>Enxame: ataca sempre com Vantagem. Mordida Perfurante por natureza - RESOLVE a pendencia de fonte de Perfurante fora do controle do Mestre (GDD_Equipamentos S11).</t>
        </is>
      </c>
    </row>
    <row r="26">
      <c r="A26" t="inlineStr">
        <is>
          <t>Zumbi Guia</t>
        </is>
      </c>
      <c r="B26" t="n">
        <v>1</v>
      </c>
      <c r="C26" t="n">
        <v>1</v>
      </c>
      <c r="D26" t="n">
        <v>12</v>
      </c>
      <c r="E26" t="n">
        <v>15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8</v>
      </c>
      <c r="J26" t="inlineStr">
        <is>
          <t>Medio</t>
        </is>
      </c>
      <c r="K26" t="inlineStr">
        <is>
          <t>NAO</t>
        </is>
      </c>
      <c r="L26" t="inlineStr">
        <is>
          <t>NAO</t>
        </is>
      </c>
      <c r="M26" t="inlineStr">
        <is>
          <t>Fogo</t>
        </is>
      </c>
      <c r="Q26" t="inlineStr">
        <is>
          <t>NAO ATACA. Direcao (raio 4 hex): zumbis no raio ganham Vantagem no proximo ataque. Par silencioso do Uivante - cobra em Infeccao, nao em Horda. Medido acompanhado (nao dobra, S4.3).</t>
        </is>
      </c>
    </row>
    <row r="27">
      <c r="A27" t="inlineStr">
        <is>
          <t>Fungo Ambulante</t>
        </is>
      </c>
      <c r="B27" t="n">
        <v>2</v>
      </c>
      <c r="C27" t="n">
        <v>7</v>
      </c>
      <c r="D27" t="n">
        <v>22</v>
      </c>
      <c r="E27" t="n">
        <v>13</v>
      </c>
      <c r="F27" t="inlineStr">
        <is>
          <t>+5</t>
        </is>
      </c>
      <c r="G27" t="inlineStr">
        <is>
          <t>1d6+1</t>
        </is>
      </c>
      <c r="H27" t="inlineStr">
        <is>
          <t>Quimico</t>
        </is>
      </c>
      <c r="I27" t="n">
        <v>3</v>
      </c>
      <c r="J27" t="inlineStr">
        <is>
          <t>Medio</t>
        </is>
      </c>
      <c r="K27" t="inlineStr">
        <is>
          <t>SIM</t>
        </is>
      </c>
      <c r="L27" t="inlineStr">
        <is>
          <t>NAO</t>
        </is>
      </c>
      <c r="M27" t="inlineStr">
        <is>
          <t>Fogo</t>
        </is>
      </c>
      <c r="N27" t="inlineStr">
        <is>
          <t>Quimico</t>
        </is>
      </c>
      <c r="Q27" t="inlineStr">
        <is>
          <t>Nuvem de Esporos (1 hex): CON CD12, falha = 1d4 Quimico + 1 Infeccao. Aura COM TESTE (diferente do Miasma do Gigante, que e sem teste - CD mais baixa pois e 3 ND mais fraco).</t>
        </is>
      </c>
    </row>
    <row r="28">
      <c r="A28" t="inlineStr">
        <is>
          <t>Zumbi Viscoso</t>
        </is>
      </c>
      <c r="B28" t="n">
        <v>2</v>
      </c>
      <c r="C28" t="n">
        <v>2.5</v>
      </c>
      <c r="D28" t="n">
        <v>26</v>
      </c>
      <c r="E28" t="n">
        <v>13</v>
      </c>
      <c r="F28" t="inlineStr">
        <is>
          <t>+5</t>
        </is>
      </c>
      <c r="G28" t="inlineStr">
        <is>
          <t>1d4+1</t>
        </is>
      </c>
      <c r="H28" t="inlineStr">
        <is>
          <t>Necrotico</t>
        </is>
      </c>
      <c r="I28" t="n">
        <v>3</v>
      </c>
      <c r="J28" t="inlineStr">
        <is>
          <t>Medio</t>
        </is>
      </c>
      <c r="K28" t="inlineStr">
        <is>
          <t>SIM</t>
        </is>
      </c>
      <c r="L28" t="inlineStr">
        <is>
          <t>NAO</t>
        </is>
      </c>
      <c r="M28" t="inlineStr">
        <is>
          <t>Fogo</t>
        </is>
      </c>
      <c r="N28" t="inlineStr">
        <is>
          <t>Perfurante, Balistico</t>
        </is>
      </c>
      <c r="Q28" t="inlineStr">
        <is>
          <t>Lodo Pegajoso: ao acertar, AGI CD13 ou deslocamento reduzido a metade at o fim do proximo turno do alvo. Controle de posicao, nao dano - 1d4 e o menor dado do catalogo.</t>
        </is>
      </c>
    </row>
    <row r="29">
      <c r="A29" t="inlineStr">
        <is>
          <t>Zumbi Corrosivo</t>
        </is>
      </c>
      <c r="B29" t="n">
        <v>3</v>
      </c>
      <c r="C29" t="n">
        <v>5</v>
      </c>
      <c r="D29" t="n">
        <v>30</v>
      </c>
      <c r="E29" t="n">
        <v>13</v>
      </c>
      <c r="F29" t="inlineStr">
        <is>
          <t>+6</t>
        </is>
      </c>
      <c r="G29" t="inlineStr">
        <is>
          <t>1d6+2</t>
        </is>
      </c>
      <c r="H29" t="inlineStr">
        <is>
          <t>Necrotico</t>
        </is>
      </c>
      <c r="I29" t="n">
        <v>4</v>
      </c>
      <c r="J29" t="inlineStr">
        <is>
          <t>Medio</t>
        </is>
      </c>
      <c r="K29" t="inlineStr">
        <is>
          <t>SIM</t>
        </is>
      </c>
      <c r="L29" t="inlineStr">
        <is>
          <t>NAO</t>
        </is>
      </c>
      <c r="M29" t="inlineStr">
        <is>
          <t>Fogo</t>
        </is>
      </c>
      <c r="N29" t="inlineStr">
        <is>
          <t>Quimico</t>
        </is>
      </c>
      <c r="Q29" t="inlineStr">
        <is>
          <t>Aura Corrosiva (1 hex): CON CD13, falha = 1d6 de local (GDD_Equipamentos S3) desce 1 estado de desgaste. Primeira criatura a atacar EQUIPAMENTO direto - RESOLVE quebra-armadura alem do Touro.</t>
        </is>
      </c>
    </row>
    <row r="30">
      <c r="A30" t="inlineStr">
        <is>
          <t>Posto Automatizado</t>
        </is>
      </c>
      <c r="B30" t="n">
        <v>3</v>
      </c>
      <c r="C30" t="n">
        <v>4</v>
      </c>
      <c r="D30" t="n">
        <v>32</v>
      </c>
      <c r="E30" t="n">
        <v>15</v>
      </c>
      <c r="F30" t="inlineStr">
        <is>
          <t>+9</t>
        </is>
      </c>
      <c r="G30" t="inlineStr">
        <is>
          <t>2d6</t>
        </is>
      </c>
      <c r="H30" t="inlineStr">
        <is>
          <t>Balistico</t>
        </is>
      </c>
      <c r="I30" t="n">
        <v>0</v>
      </c>
      <c r="J30" t="inlineStr">
        <is>
          <t>Medio</t>
        </is>
      </c>
      <c r="K30" t="inlineStr">
        <is>
          <t>NAO</t>
        </is>
      </c>
      <c r="L30" t="inlineStr">
        <is>
          <t>NAO</t>
        </is>
      </c>
      <c r="M30" t="inlineStr">
        <is>
          <t>Eletrico/EMP</t>
        </is>
      </c>
      <c r="N30" t="inlineStr">
        <is>
          <t>Perfurante</t>
        </is>
      </c>
      <c r="Q30" t="inlineStr">
        <is>
          <t>Sensor de Movimento: Vantagem contra quem se moveu no turno. Hackear (Mecanica ou Eletronica CD15, Vantagem com Kit de Eletronica): fica Inerte e pode ser OPERADO por um personagem depois.</t>
        </is>
      </c>
    </row>
    <row r="31">
      <c r="A31" t="inlineStr">
        <is>
          <t>Carcaca de Aco</t>
        </is>
      </c>
      <c r="B31" t="n">
        <v>3</v>
      </c>
      <c r="C31" t="n">
        <v>7</v>
      </c>
      <c r="D31" t="n">
        <v>32</v>
      </c>
      <c r="E31" t="n">
        <v>18</v>
      </c>
      <c r="F31" t="inlineStr">
        <is>
          <t>+8</t>
        </is>
      </c>
      <c r="G31" t="inlineStr">
        <is>
          <t>1d6+1</t>
        </is>
      </c>
      <c r="H31" t="inlineStr">
        <is>
          <t>Necrotico</t>
        </is>
      </c>
      <c r="I31" t="n">
        <v>2</v>
      </c>
      <c r="J31" t="inlineStr">
        <is>
          <t>Medio</t>
        </is>
      </c>
      <c r="K31" t="inlineStr">
        <is>
          <t>SIM</t>
        </is>
      </c>
      <c r="L31" t="inlineStr">
        <is>
          <t>NAO</t>
        </is>
      </c>
      <c r="M31" t="inlineStr">
        <is>
          <t>Concussao</t>
        </is>
      </c>
      <c r="N31" t="inlineStr">
        <is>
          <t>Perfurante, Balistico</t>
        </is>
      </c>
      <c r="Q31" t="inlineStr">
        <is>
          <t>Defesa mais alta do catalogo (18, acima do proprio Gigante) e sem nenhuma habilidade - paga tudo em Defesa, cobra em rodadas: Movimento 2 hex, nunca alcanca quem recua.</t>
        </is>
      </c>
    </row>
    <row r="32">
      <c r="A32" t="inlineStr">
        <is>
          <t>Parasita de Controle</t>
        </is>
      </c>
      <c r="B32" t="n">
        <v>3</v>
      </c>
      <c r="C32" t="n">
        <v>4</v>
      </c>
      <c r="D32" t="n">
        <v>20</v>
      </c>
      <c r="E32" t="n">
        <v>14</v>
      </c>
      <c r="F32" t="inlineStr">
        <is>
          <t>+8 (10 hex)</t>
        </is>
      </c>
      <c r="G32" t="inlineStr">
        <is>
          <t>1d4</t>
        </is>
      </c>
      <c r="H32" t="inlineStr">
        <is>
          <t>Perfurante</t>
        </is>
      </c>
      <c r="I32" t="n">
        <v>7</v>
      </c>
      <c r="J32" t="inlineStr">
        <is>
          <t>Miudo</t>
        </is>
      </c>
      <c r="K32" t="inlineStr">
        <is>
          <t>NAO</t>
        </is>
      </c>
      <c r="L32" t="inlineStr">
        <is>
          <t>NAO</t>
        </is>
      </c>
      <c r="M32" t="inlineStr">
        <is>
          <t>Fogo</t>
        </is>
      </c>
      <c r="Q32" t="inlineStr">
        <is>
          <t>Controle parasitario: se o alvo tem HP &lt;= metade do maximo, CON CD14 ou fica Controlado e ataca o aliado mais proximo. Quase inofensivo vs grupo saudavel; letal sem descanso entre cenas.</t>
        </is>
      </c>
    </row>
    <row r="33">
      <c r="A33" t="inlineStr">
        <is>
          <t>Mutante Encouracado</t>
        </is>
      </c>
      <c r="B33" t="n">
        <v>4</v>
      </c>
      <c r="C33" t="n">
        <v>9</v>
      </c>
      <c r="D33" t="n">
        <v>50</v>
      </c>
      <c r="E33" t="n">
        <v>15</v>
      </c>
      <c r="F33" t="inlineStr">
        <is>
          <t>+10</t>
        </is>
      </c>
      <c r="G33" t="inlineStr">
        <is>
          <t>1d10+3</t>
        </is>
      </c>
      <c r="H33" t="inlineStr">
        <is>
          <t>Perfurante</t>
        </is>
      </c>
      <c r="I33" t="n">
        <v>4</v>
      </c>
      <c r="J33" t="inlineStr">
        <is>
          <t>Medio</t>
        </is>
      </c>
      <c r="K33" t="inlineStr">
        <is>
          <t>NAO</t>
        </is>
      </c>
      <c r="L33" t="inlineStr">
        <is>
          <t>NAO</t>
        </is>
      </c>
      <c r="M33" t="inlineStr">
        <is>
          <t>Concussao</t>
        </is>
      </c>
      <c r="N33" t="inlineStr">
        <is>
          <t>Perfurante</t>
        </is>
      </c>
      <c r="Q33" t="inlineStr">
        <is>
          <t>Espinhos Rasgantes (Rasgar variante): todo acerto, AGI CD14 ou desce 1 estado de desgaste - sem limite por combate, mas TESTAVEL (o Touro e automatico, 1x/combate). NAO gera Infeccao (dano Perfurante, nao Necrotico).</t>
        </is>
      </c>
    </row>
    <row r="34">
      <c r="A34" t="inlineStr">
        <is>
          <t>Colmeia Ambulante</t>
        </is>
      </c>
      <c r="B34" t="n">
        <v>6</v>
      </c>
      <c r="C34" t="n">
        <v>120</v>
      </c>
      <c r="D34" t="n">
        <v>95</v>
      </c>
      <c r="E34" t="n">
        <v>15</v>
      </c>
      <c r="F34" t="inlineStr">
        <is>
          <t>+13</t>
        </is>
      </c>
      <c r="G34" t="inlineStr">
        <is>
          <t>2d6+3</t>
        </is>
      </c>
      <c r="H34" t="inlineStr">
        <is>
          <t>Necrotico</t>
        </is>
      </c>
      <c r="I34" t="n">
        <v>4</v>
      </c>
      <c r="J34" t="inlineStr">
        <is>
          <t>Grande</t>
        </is>
      </c>
      <c r="K34" t="inlineStr">
        <is>
          <t>SIM</t>
        </is>
      </c>
      <c r="L34" t="inlineStr">
        <is>
          <t>NAO</t>
        </is>
      </c>
      <c r="M34" t="inlineStr">
        <is>
          <t>Fogo</t>
        </is>
      </c>
      <c r="N34" t="inlineStr">
        <is>
          <t>Perfurante, Balistico</t>
        </is>
      </c>
      <c r="Q34" t="inlineStr">
        <is>
          <t>Zumbido Constante (2 hex, CON CD15, falha=1 Infeccao): aura TESTAVEL, nao automatica como o Miasma do Gigante. Cisao: a 0 HP libera 3 Insetos Mutantes (ND0).</t>
        </is>
      </c>
    </row>
    <row r="35">
      <c r="A35" t="inlineStr">
        <is>
          <t>Devorador de Aco</t>
        </is>
      </c>
      <c r="B35" t="n">
        <v>6</v>
      </c>
      <c r="C35" t="n">
        <v>70</v>
      </c>
      <c r="D35" t="n">
        <v>110</v>
      </c>
      <c r="E35" t="n">
        <v>16</v>
      </c>
      <c r="F35" t="inlineStr">
        <is>
          <t>+9 (reduzido)</t>
        </is>
      </c>
      <c r="G35" t="inlineStr">
        <is>
          <t>2d8+3</t>
        </is>
      </c>
      <c r="H35" t="inlineStr">
        <is>
          <t>Concussao</t>
        </is>
      </c>
      <c r="I35" t="n">
        <v>5</v>
      </c>
      <c r="J35" t="inlineStr">
        <is>
          <t>Grande</t>
        </is>
      </c>
      <c r="K35" t="inlineStr">
        <is>
          <t>NAO</t>
        </is>
      </c>
      <c r="L35" t="inlineStr">
        <is>
          <t>NAO</t>
        </is>
      </c>
      <c r="M35" t="inlineStr">
        <is>
          <t>Eletrico/EMP</t>
        </is>
      </c>
      <c r="N35" t="inlineStr">
        <is>
          <t>Perfurante, Balistico</t>
        </is>
      </c>
      <c r="Q35" t="inlineStr">
        <is>
          <t>Mandibulas Trituradoras: todo acerto desce 1 estado de desgaste, SEM LIMITE por combate. Ataque reduzido de proposito (ND6 pleno seria +13) para nao destruir equipamento rapido demais - pedido do Diretor.</t>
        </is>
      </c>
    </row>
    <row r="36">
      <c r="A36" t="inlineStr">
        <is>
          <t>Enxame de Morcegos Mutantes</t>
        </is>
      </c>
      <c r="B36" t="n">
        <v>6</v>
      </c>
      <c r="C36" t="n">
        <v>100</v>
      </c>
      <c r="D36" t="n">
        <v>80</v>
      </c>
      <c r="E36" t="n">
        <v>17</v>
      </c>
      <c r="F36" t="inlineStr">
        <is>
          <t>+13</t>
        </is>
      </c>
      <c r="G36" t="inlineStr">
        <is>
          <t>2d6+2</t>
        </is>
      </c>
      <c r="H36" t="inlineStr">
        <is>
          <t>Perfurante</t>
        </is>
      </c>
      <c r="I36" t="n">
        <v>8</v>
      </c>
      <c r="J36" t="inlineStr">
        <is>
          <t>Medio</t>
        </is>
      </c>
      <c r="K36" t="inlineStr">
        <is>
          <t>NAO</t>
        </is>
      </c>
      <c r="L36" t="inlineStr">
        <is>
          <t>NAO</t>
        </is>
      </c>
      <c r="M36" t="inlineStr">
        <is>
          <t>Concussao</t>
        </is>
      </c>
      <c r="Q36" t="inlineStr">
        <is>
          <t>Voo Erratico: ataque corpo a corpo comum contra ele tem Desvantagem (so a arma de alcance/distancia funciona bem). Mordida Perfurante real, fora do controle do Mestre.</t>
        </is>
      </c>
    </row>
    <row r="37">
      <c r="A37" t="inlineStr">
        <is>
          <t>Sentinela Corporativa</t>
        </is>
      </c>
      <c r="B37" t="inlineStr">
        <is>
          <t>6-7</t>
        </is>
      </c>
      <c r="C37" t="n">
        <v>230</v>
      </c>
      <c r="D37" t="n">
        <v>100</v>
      </c>
      <c r="E37" t="n">
        <v>20</v>
      </c>
      <c r="F37" t="inlineStr">
        <is>
          <t>+14</t>
        </is>
      </c>
      <c r="G37" t="inlineStr">
        <is>
          <t>2d8+4</t>
        </is>
      </c>
      <c r="H37" t="inlineStr">
        <is>
          <t>Balistico</t>
        </is>
      </c>
      <c r="I37" t="n">
        <v>5</v>
      </c>
      <c r="J37" t="inlineStr">
        <is>
          <t>Medio</t>
        </is>
      </c>
      <c r="K37" t="inlineStr">
        <is>
          <t>NAO</t>
        </is>
      </c>
      <c r="L37" t="inlineStr">
        <is>
          <t>NAO</t>
        </is>
      </c>
      <c r="M37" t="inlineStr">
        <is>
          <t>Eletrico/EMP</t>
        </is>
      </c>
      <c r="N37" t="inlineStr">
        <is>
          <t>Perfurante, Balistico</t>
        </is>
      </c>
      <c r="Q37" t="inlineStr">
        <is>
          <t>DUAS ACOES. Nunca recarrega nem trava. Critico com 19-20 natural (em vez de Rasgar) - a resposta ao personagem Furtivo de Defesa alta, nao ao tanque. Primeira criatura que NAO e morto-vivo nem mutante.</t>
        </is>
      </c>
    </row>
    <row r="38">
      <c r="A38" t="inlineStr">
        <is>
          <t>Enxame-Rainha</t>
        </is>
      </c>
      <c r="B38" t="n">
        <v>8</v>
      </c>
      <c r="C38" t="n">
        <v>260</v>
      </c>
      <c r="D38" t="n">
        <v>125</v>
      </c>
      <c r="E38" t="n">
        <v>18</v>
      </c>
      <c r="F38" t="inlineStr">
        <is>
          <t>+16</t>
        </is>
      </c>
      <c r="G38" t="inlineStr">
        <is>
          <t>2d6+3</t>
        </is>
      </c>
      <c r="H38" t="inlineStr">
        <is>
          <t>Necrotico</t>
        </is>
      </c>
      <c r="I38" t="n">
        <v>6</v>
      </c>
      <c r="J38" t="inlineStr">
        <is>
          <t>Grande</t>
        </is>
      </c>
      <c r="K38" t="inlineStr">
        <is>
          <t>SIM</t>
        </is>
      </c>
      <c r="L38" t="inlineStr">
        <is>
          <t>NAO</t>
        </is>
      </c>
      <c r="M38" t="inlineStr">
        <is>
          <t>Fogo</t>
        </is>
      </c>
      <c r="N38" t="inlineStr">
        <is>
          <t>Perfurante</t>
        </is>
      </c>
      <c r="Q38" t="inlineStr">
        <is>
          <t>Secrecao da Prole (2 hex, CON CD16): 1d6 Necrotico + 1 Infeccao se falhar. Grito de Comando (6 hex): zumbis/mutantes curam 5 HP e Vantagem. Chamado Constante: Medidor de Horda +5/rodada so por ela existir.</t>
        </is>
      </c>
    </row>
    <row r="39">
      <c r="A39" t="inlineStr">
        <is>
          <t>Matriarca Mutagenica</t>
        </is>
      </c>
      <c r="B39" t="n">
        <v>8</v>
      </c>
      <c r="C39" t="n">
        <v>255</v>
      </c>
      <c r="D39" t="n">
        <v>130</v>
      </c>
      <c r="E39" t="n">
        <v>18</v>
      </c>
      <c r="F39" t="inlineStr">
        <is>
          <t>+16</t>
        </is>
      </c>
      <c r="G39" t="inlineStr">
        <is>
          <t>2d8+4</t>
        </is>
      </c>
      <c r="H39" t="inlineStr">
        <is>
          <t>Necrotico</t>
        </is>
      </c>
      <c r="I39" t="n">
        <v>5</v>
      </c>
      <c r="J39" t="inlineStr">
        <is>
          <t>Grande</t>
        </is>
      </c>
      <c r="K39" t="inlineStr">
        <is>
          <t>SIM</t>
        </is>
      </c>
      <c r="L39" t="inlineStr">
        <is>
          <t>NAO</t>
        </is>
      </c>
      <c r="M39" t="inlineStr">
        <is>
          <t>Fogo</t>
        </is>
      </c>
      <c r="N39" t="inlineStr">
        <is>
          <t>Perfurante, Necrotico</t>
        </is>
      </c>
      <c r="Q39" t="inlineStr">
        <is>
          <t>Oviposicao (processo paralelo, nao custa a Acao): gera Zumbis direto (nao Casulo) at 4 vivos gerados por ela. Regeneracao 3 HP/turno, anulada por Fogo. Versao movel do Casulo.</t>
        </is>
      </c>
    </row>
    <row r="40">
      <c r="A40" t="inlineStr">
        <is>
          <t>Colosso de Sucata</t>
        </is>
      </c>
      <c r="B40" t="n">
        <v>9</v>
      </c>
      <c r="C40" t="n">
        <v>350</v>
      </c>
      <c r="D40" t="n">
        <v>170</v>
      </c>
      <c r="E40" t="n">
        <v>18</v>
      </c>
      <c r="F40" t="inlineStr">
        <is>
          <t>+17</t>
        </is>
      </c>
      <c r="G40" t="inlineStr">
        <is>
          <t>2d10+5</t>
        </is>
      </c>
      <c r="H40" t="inlineStr">
        <is>
          <t>Concussao</t>
        </is>
      </c>
      <c r="I40" t="n">
        <v>6</v>
      </c>
      <c r="J40" t="inlineStr">
        <is>
          <t>ENORME</t>
        </is>
      </c>
      <c r="K40" t="inlineStr">
        <is>
          <t>NAO</t>
        </is>
      </c>
      <c r="L40" t="inlineStr">
        <is>
          <t>NAO</t>
        </is>
      </c>
      <c r="M40" t="inlineStr">
        <is>
          <t>Eletrico/EMP</t>
        </is>
      </c>
      <c r="N40" t="inlineStr">
        <is>
          <t>Perfurante, Balistico</t>
        </is>
      </c>
      <c r="Q40" t="inlineStr">
        <is>
          <t>DUAS ACOES. Rasgar 3x/combate (o triplo do Touro). Investida como o Touro (FOR CD17). Nuvem de Estilhacos (1 hex, fim do turno): 1d8 Concussao. Colapso em Sucata: a 0 HP vira 2 Drones de Sucata (ND2).</t>
        </is>
      </c>
    </row>
    <row r="41">
      <c r="A41" t="inlineStr">
        <is>
          <t>Nucleo Mutagenico</t>
        </is>
      </c>
      <c r="B41" t="n">
        <v>10</v>
      </c>
      <c r="C41" t="n">
        <v>720</v>
      </c>
      <c r="D41" t="n">
        <v>160</v>
      </c>
      <c r="E41" t="n">
        <v>19</v>
      </c>
      <c r="F41" t="inlineStr">
        <is>
          <t>+19</t>
        </is>
      </c>
      <c r="G41" t="inlineStr">
        <is>
          <t>2d10+6</t>
        </is>
      </c>
      <c r="H41" t="inlineStr">
        <is>
          <t>Necrotico</t>
        </is>
      </c>
      <c r="I41" t="n">
        <v>5</v>
      </c>
      <c r="J41" t="inlineStr">
        <is>
          <t>ENORME</t>
        </is>
      </c>
      <c r="K41" t="inlineStr">
        <is>
          <t>SIM</t>
        </is>
      </c>
      <c r="L41" t="inlineStr">
        <is>
          <t>NAO</t>
        </is>
      </c>
      <c r="M41" t="inlineStr">
        <is>
          <t>Fogo</t>
        </is>
      </c>
      <c r="N41" t="inlineStr">
        <is>
          <t>Perfurante, Balistico, Concussao</t>
        </is>
      </c>
      <c r="P41" t="inlineStr">
        <is>
          <t>Agarrado, Enganchar</t>
        </is>
      </c>
      <c r="Q41" t="inlineStr">
        <is>
          <t>DUAS ACOES. Miasma (2 hex, sem teste, 1 Infeccao - dobro do raio do Gigante). Pulso de Mutagenese (4 hex, a cada 2 rodadas): +1 Infeccao extra em quem ja tem. Cisao: a 0 HP vira 6 Zumbis. O chefe desenhado para esgotar a Trilha, nao o HP.</t>
        </is>
      </c>
    </row>
    <row r="42">
      <c r="A42" t="inlineStr">
        <is>
          <t>Fonte Zero</t>
        </is>
      </c>
      <c r="B42" t="n">
        <v>10</v>
      </c>
      <c r="C42" t="inlineStr">
        <is>
          <t>470 (piso de faixa)</t>
        </is>
      </c>
      <c r="D42" t="n">
        <v>260</v>
      </c>
      <c r="E42" t="n">
        <v>16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0</v>
      </c>
      <c r="J42" t="inlineStr">
        <is>
          <t>ENORME</t>
        </is>
      </c>
      <c r="K42" t="inlineStr">
        <is>
          <t>SIM</t>
        </is>
      </c>
      <c r="L42" t="inlineStr">
        <is>
          <t>NAO</t>
        </is>
      </c>
      <c r="M42" t="inlineStr">
        <is>
          <t>Fogo</t>
        </is>
      </c>
      <c r="N42" t="inlineStr">
        <is>
          <t>Perfurante, Balistico, Concussao</t>
        </is>
      </c>
      <c r="Q42" t="inlineStr">
        <is>
          <t>NAO ATACA. Aura Crescente: raio e dado da aura sobem 1 degrau por rodada (CD de CON = 12+rodada). Pressao de tempo, nao de dado. Custo e PISO de uma faixa 470-600: luta esticada custa muito mais.</t>
        </is>
      </c>
    </row>
    <row r="43"/>
    <row r="44"/>
    <row r="45"/>
    <row r="46">
      <c r="A46" s="4" t="inlineStr">
        <is>
          <t>ORCAMENTO DE ENCONTRO - POR PATAMAR (Aprovacao 030). Ataques na curva da Aprovacao 029.</t>
        </is>
      </c>
    </row>
    <row r="47">
      <c r="A47" s="4" t="n"/>
    </row>
    <row r="48">
      <c r="A48" s="4" t="inlineStr">
        <is>
          <t xml:space="preserve">   custo do encontro = SOMA(pontos) x M(n)      M(1)=1   M(2)=1,5   M(n&gt;=3) = n - 1</t>
        </is>
      </c>
    </row>
    <row r="49">
      <c r="A49" s="4" t="inlineStr">
        <is>
          <t xml:space="preserve">      O grupo mata um alvo por vez: o risco escala com o TRIANGULO do numero de criaturas.</t>
        </is>
      </c>
    </row>
    <row r="50">
      <c r="A50" s="4" t="inlineStr">
        <is>
          <t xml:space="preserve">      n - 1 erra +-5% entre 2 e 10 criaturas (substitui o 3n/4 da Aprovacao 027).</t>
        </is>
      </c>
    </row>
    <row r="51">
      <c r="A51" s="4" t="n"/>
    </row>
    <row r="52">
      <c r="A52" s="4" t="inlineStr">
        <is>
          <t xml:space="preserve">   LIMIARES (grupo de 4, equipado para o patamar):      MODERADO   DIFICIL   MORTAL</t>
        </is>
      </c>
    </row>
    <row r="53">
      <c r="A53" s="4" t="inlineStr">
        <is>
          <t xml:space="preserve">      P1  niveis 1-4    (Def 15) ...................     17         21        39</t>
        </is>
      </c>
    </row>
    <row r="54">
      <c r="A54" s="4" t="inlineStr">
        <is>
          <t xml:space="preserve">      P2  niveis 5-8    (Def 17) ...................     21         66       116</t>
        </is>
      </c>
    </row>
    <row r="55">
      <c r="A55" s="4" t="inlineStr">
        <is>
          <t xml:space="preserve">      P3  niveis 9-12   (Def 19) ...................     54        108       180</t>
        </is>
      </c>
    </row>
    <row r="56">
      <c r="A56" s="4" t="inlineStr">
        <is>
          <t xml:space="preserve">      P4  niveis 13-16  (Def 20) ... Bloco 5 confirma moderado/dificil .....    ~90       ~130      ~300*</t>
        </is>
      </c>
    </row>
    <row r="57">
      <c r="A57" s="4" t="inlineStr">
        <is>
          <t xml:space="preserve">      P5  niveis 17-20  (Def 21) ... Bloco 5 confirma moderado/dificil .....    ~90       ~180      ~300*</t>
        </is>
      </c>
    </row>
    <row r="58">
      <c r="A58" s="4" t="inlineStr">
        <is>
          <t xml:space="preserve">   Acerto dos limiares: 83-88% dos rotulos reais. *P4-P5: MORTAL (~300) parece teto de combinacao/par, nao de criatura solo a partir de ND9 (GDD_Bestiario S20.5.6).</t>
        </is>
      </c>
    </row>
    <row r="59">
      <c r="A59" s="4" t="inlineStr">
        <is>
          <t xml:space="preserve">   Exemplo P2: 1 Mutante + 4 Zumbis = (6,5+4) x 4 = 42 -&gt; MODERADO.  Com Zumbi de Sangue: (18+4) x 4 = 88 -&gt; DIFICIL.</t>
        </is>
      </c>
    </row>
    <row r="60">
      <c r="A60" s="4" t="n"/>
    </row>
    <row r="61">
      <c r="A61" s="4" t="inlineStr">
        <is>
          <t xml:space="preserve">   ND ANCORA NIVEL: ND 0-2 = patamar 1 | ND 3-4 = patamar 2 | ND 5 = patamar 3 | ND 6-10 = patamar 4-5 (Bloco 5, Aprovacao 035).</t>
        </is>
      </c>
    </row>
    <row r="62">
      <c r="A62" s="4" t="inlineStr">
        <is>
          <t xml:space="preserve">   ND e pontos NAO precisam concordar: ND e leitura de mesa, pontos sao orcamento.</t>
        </is>
      </c>
    </row>
    <row r="63">
      <c r="A63" s="4" t="inlineStr">
        <is>
          <t xml:space="preserve">   Criaturas de ND 3+ medidas contra o patamar 2 (contra o patamar 1 exterminam o grupo e o custo satura)</t>
        </is>
      </c>
    </row>
    <row r="64">
      <c r="A64" s="4" t="inlineStr">
        <is>
          <t xml:space="preserve">      e convertidas pela ponte do Mutante. O Gigante aparecia com 61 pontos por saturacao; o real e 132.</t>
        </is>
      </c>
    </row>
    <row r="65">
      <c r="A65" s="4" t="inlineStr">
        <is>
          <t xml:space="preserve">   REGRA DE SUPORTE: so o Vigia (0 sozinho, 2 acompanhado). Doutora Zumbi e Uivante agora sao medidos acompanhados.</t>
        </is>
      </c>
    </row>
    <row r="66">
      <c r="A66" s="4" t="n"/>
    </row>
    <row r="67">
      <c r="A67" s="4" t="inlineStr">
        <is>
          <t xml:space="preserve">   ACHADOS: (1) ARMADURA PROTEGE CONTRA ATAQUE, NAO CONTRA EFEITO - o Zumbi de Sangue perde so 5 pontos</t>
        </is>
      </c>
    </row>
    <row r="68">
      <c r="A68" s="4" t="inlineStr">
        <is>
          <t xml:space="preserve">      de dano do sem-armadura ao tanque (a explosao e salvaguarda). O tanque tem inimigos naturais.</t>
        </is>
      </c>
    </row>
    <row r="69">
      <c r="A69" s="4" t="inlineStr">
        <is>
          <t xml:space="preserve">   (2) NO FIM DO JOGO QUEM MATA E A TRILHA: HP cresce 4,5x (30-&gt;136), limiar de Infeccao 1,2x (18-&gt;22).</t>
        </is>
      </c>
    </row>
    <row r="70">
      <c r="A70" s="4" t="inlineStr">
        <is>
          <t xml:space="preserve">      2 Gigantes no P5: so 21% do HP, mas 6,5 de Infeccao por personagem. Decisao do Diretor: fica assim.</t>
        </is>
      </c>
    </row>
    <row r="71">
      <c r="A71" s="4" t="inlineStr">
        <is>
          <t xml:space="preserve">   (3) Pontos NAO sao exatos entre tiers: Touro/Mutante vale 0,53 no P1 e 0,72 no P2.</t>
        </is>
      </c>
    </row>
    <row r="72">
      <c r="A72" t="inlineStr">
        <is>
          <t xml:space="preserve">   P4/P5 (Bloco 5) somam-se a essa mesma limitacao: convencoes de medicao diferentes entre os dois lotes. Aceito, nao reconciliado.</t>
        </is>
      </c>
    </row>
    <row r="73">
      <c r="A73" t="inlineStr">
        <is>
          <t>(4) M(n) SUBESTIMA PILHAS SEM INFECCAO: 2x Posto, 2x Touro e 4x Saqueador superam o HP% previsto pela formula. Mitigacao: suba 1 degrau de rotulo nesses encontros.</t>
        </is>
      </c>
    </row>
    <row r="74">
      <c r="A74" t="inlineStr">
        <is>
          <t>(5) BANDA CATASTROFICA (P5, a partir de 450): Colosso/Fonte Zero/Nucleo superam MORTAL sozinhos. Nao sao desenhados para vencer em combate direto - sao fuga/relogio narrativo.</t>
        </is>
      </c>
    </row>
    <row r="75">
      <c r="A75" s="4" t="inlineStr">
        <is>
          <t xml:space="preserve">   A leva da Horda custa 1 ponto por errante e chega POR CIMA. O Medidor e recurso do Mestre, nao obrigacao.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4.4"/>
  <cols>
    <col width="30" customWidth="1" min="1" max="1"/>
    <col width="9" customWidth="1" min="2" max="2"/>
    <col width="16" customWidth="1" min="3" max="3"/>
    <col width="24" customWidth="1" min="4" max="4"/>
    <col width="12" customWidth="1" min="5" max="5"/>
    <col width="62" customWidth="1" min="6" max="6"/>
  </cols>
  <sheetData>
    <row r="1" ht="16.8" customHeight="1">
      <c r="A1" s="1" t="inlineStr">
        <is>
          <t>Consumiveis - reposicao e saque (Aprovacao 028)</t>
        </is>
      </c>
    </row>
    <row r="2">
      <c r="A2" s="2" t="inlineStr">
        <is>
          <t>Principio: NADA SE GASTA SEM TER UMA VIA DE VOLTA DECLARADA. Espelho da regra de producao da Aprovacao 023.</t>
        </is>
      </c>
    </row>
    <row r="4">
      <c r="A4" s="26" t="inlineStr">
        <is>
          <t>1. CARGA (N) - a unificacao</t>
        </is>
      </c>
    </row>
    <row r="5">
      <c r="A5" s="5" t="inlineStr">
        <is>
          <t>Item</t>
        </is>
      </c>
      <c r="B5" s="5" t="inlineStr">
        <is>
          <t>Cargas</t>
        </is>
      </c>
      <c r="C5" s="5" t="inlineStr">
        <is>
          <t>Tipo de carga</t>
        </is>
      </c>
      <c r="D5" s="5" t="inlineStr">
        <is>
          <t>Componente que repoe</t>
        </is>
      </c>
      <c r="E5" s="5" t="inlineStr">
        <is>
          <t>Escassez</t>
        </is>
      </c>
      <c r="F5" s="5" t="inlineStr">
        <is>
          <t>Nota</t>
        </is>
      </c>
    </row>
    <row r="6" ht="26.4" customHeight="1">
      <c r="A6" s="18" t="inlineStr">
        <is>
          <t>Soqueira "Volt-9"</t>
        </is>
      </c>
      <c r="B6" s="13" t="n">
        <v>6</v>
      </c>
      <c r="C6" s="10" t="inlineStr">
        <is>
          <t>Eletrica</t>
        </is>
      </c>
      <c r="D6" s="10" t="inlineStr">
        <is>
          <t>Celula de Energia</t>
        </is>
      </c>
      <c r="E6" s="13" t="inlineStr">
        <is>
          <t>Incomum</t>
        </is>
      </c>
      <c r="F6" s="19" t="inlineStr">
        <is>
          <t>DPR 6,35 carregada x 4,08 vazia. Encher custa 6 Celulas: e decisao de Refugio, nao rotina.</t>
        </is>
      </c>
    </row>
    <row r="7" ht="26.4" customHeight="1">
      <c r="A7" s="18" t="inlineStr">
        <is>
          <t>"Ferro de Marca"</t>
        </is>
      </c>
      <c r="B7" s="13" t="n">
        <v>10</v>
      </c>
      <c r="C7" s="10" t="inlineStr">
        <is>
          <t>Incendiaria</t>
        </is>
      </c>
      <c r="D7" s="10" t="inlineStr">
        <is>
          <t>Quimica</t>
        </is>
      </c>
      <c r="E7" s="13" t="inlineStr">
        <is>
          <t>Incomum</t>
        </is>
      </c>
      <c r="F7" s="19" t="inlineStr">
        <is>
          <t>RARIDADE EXTREMA. Cauterizar zera Infeccao de um ataque. O item mais caro de manter do jogo.</t>
        </is>
      </c>
    </row>
    <row r="8">
      <c r="A8" s="18" t="inlineStr">
        <is>
          <t>Emissor EMP "Apagao"</t>
        </is>
      </c>
      <c r="B8" s="13" t="n">
        <v>3</v>
      </c>
      <c r="C8" s="10" t="inlineStr">
        <is>
          <t>Eletrica</t>
        </is>
      </c>
      <c r="D8" s="10" t="inlineStr">
        <is>
          <t>Celula de Energia</t>
        </is>
      </c>
      <c r="E8" s="13" t="inlineStr">
        <is>
          <t>Incomum</t>
        </is>
      </c>
      <c r="F8" s="19" t="inlineStr">
        <is>
          <t>Cone 3 hex. NAO distingue amigo de inimigo.</t>
        </is>
      </c>
    </row>
    <row r="9">
      <c r="A9" s="18" t="inlineStr">
        <is>
          <t>Tonfa de Choque Antimotim</t>
        </is>
      </c>
      <c r="B9" s="13" t="n">
        <v>4</v>
      </c>
      <c r="C9" s="10" t="inlineStr">
        <is>
          <t>Eletrica</t>
        </is>
      </c>
      <c r="D9" s="10" t="inlineStr">
        <is>
          <t>Celula de Energia</t>
        </is>
      </c>
      <c r="E9" s="13" t="inlineStr">
        <is>
          <t>Incomum</t>
        </is>
      </c>
      <c r="F9" s="19" t="inlineStr">
        <is>
          <t>Alvo perde Reacao, cibernetica falha 1 rodada.</t>
        </is>
      </c>
    </row>
    <row r="10">
      <c r="A10" s="18" t="inlineStr">
        <is>
          <t>Bateria de Carro c/ Garras</t>
        </is>
      </c>
      <c r="B10" s="13" t="n">
        <v>3</v>
      </c>
      <c r="C10" s="10" t="inlineStr">
        <is>
          <t>Eletrica</t>
        </is>
      </c>
      <c r="D10" s="10" t="inlineStr">
        <is>
          <t>Celula de Energia</t>
        </is>
      </c>
      <c r="E10" s="13" t="inlineStr">
        <is>
          <t>Incomum</t>
        </is>
      </c>
      <c r="F10" s="19" t="inlineStr">
        <is>
          <t>Improvisada, Pesada, Lenta.</t>
        </is>
      </c>
    </row>
    <row r="11">
      <c r="A11" s="18" t="inlineStr">
        <is>
          <t>Macarico de Solda Portatil</t>
        </is>
      </c>
      <c r="B11" s="13" t="n">
        <v>6</v>
      </c>
      <c r="C11" s="10" t="inlineStr">
        <is>
          <t>Incendiaria</t>
        </is>
      </c>
      <c r="D11" s="10" t="inlineStr">
        <is>
          <t>Quimica</t>
        </is>
      </c>
      <c r="E11" s="13" t="inlineStr">
        <is>
          <t>Incomum</t>
        </is>
      </c>
      <c r="F11" s="19" t="inlineStr">
        <is>
          <t>ERA 'combustivel 6 rodadas' - virou Carga (6) na Aprovacao 028.</t>
        </is>
      </c>
    </row>
    <row r="12">
      <c r="A12" s="18" t="inlineStr">
        <is>
          <t>"Cantor" dardo chamariz</t>
        </is>
      </c>
      <c r="B12" s="13" t="n">
        <v>2</v>
      </c>
      <c r="C12" s="10" t="inlineStr">
        <is>
          <t>Chamariz</t>
        </is>
      </c>
      <c r="D12" s="10" t="inlineStr">
        <is>
          <t>Pecas Mecanicas</t>
        </is>
      </c>
      <c r="E12" s="13" t="inlineStr">
        <is>
          <t>Comum</t>
        </is>
      </c>
      <c r="F12" s="19" t="inlineStr">
        <is>
          <t>Unico item de carga barata do catalogo.</t>
        </is>
      </c>
    </row>
    <row r="13">
      <c r="A13" s="18" t="inlineStr">
        <is>
          <t>Eletrodos (modificacao)</t>
        </is>
      </c>
      <c r="B13" s="13" t="inlineStr">
        <is>
          <t>-</t>
        </is>
      </c>
      <c r="C13" s="10" t="inlineStr">
        <is>
          <t>Eletrica</t>
        </is>
      </c>
      <c r="D13" s="10" t="inlineStr">
        <is>
          <t>Celula de Energia</t>
        </is>
      </c>
      <c r="E13" s="13" t="inlineStr">
        <is>
          <t>Incomum</t>
        </is>
      </c>
      <c r="F13" s="19" t="inlineStr">
        <is>
          <t>ERA 'Energia da Celula' - o termo foi APOSENTADO. Hoje e Carga.</t>
        </is>
      </c>
    </row>
    <row r="15">
      <c r="A15" s="26" t="inlineStr">
        <is>
          <t>2. MUNICAO: a tabela desta aba foi SUBSTITUIDA na Aprovacao 033 - ver a aba Saque.</t>
        </is>
      </c>
    </row>
    <row r="17">
      <c r="A17" s="4" t="inlineStr">
        <is>
          <t>A tabela de municao da Aprovacao 028 (1d20 POR PERSONAGEM, 2 por cena, so municao) foi trocada pela</t>
        </is>
      </c>
    </row>
    <row r="18">
      <c r="A18" s="4" t="inlineStr">
        <is>
          <t xml:space="preserve">   TABELA UNICA DE SAQUE DO GRUPO (aba Saque): municao, componentes, armas e equipamento numa rolagem so.</t>
        </is>
      </c>
    </row>
    <row r="19">
      <c r="A19" s="4" t="inlineStr">
        <is>
          <t xml:space="preserve">   Combates com arma de fogo: antes 31% / 35% / 48% (Rifle/Leve/Cartucho), agora 20% / 22% / 27%.</t>
        </is>
      </c>
    </row>
    <row r="20">
      <c r="A20" s="4" t="n"/>
    </row>
    <row r="21">
      <c r="A21" s="4" t="inlineStr">
        <is>
          <t>A PALAVRA 'CARGA' DESCEU DE 4 PARA 3 SENTIDOS: a Energia da Celula foi dissolvida e virou Carga.</t>
        </is>
      </c>
    </row>
    <row r="22">
      <c r="A22" s="4" t="inlineStr">
        <is>
          <t xml:space="preserve">   Combustivel (Macarico) e bateria (Rebarbadora) tambem viraram Carga: Carga (6) e Carga (4).</t>
        </is>
      </c>
    </row>
    <row r="23">
      <c r="A23" s="4" t="n"/>
    </row>
    <row r="24">
      <c r="A24" s="4" t="inlineStr">
        <is>
          <t>UM POOL, DUAS BOCAS: Celula de Energia gasta em arma NAO alimenta o Refugio, e vice-versa.</t>
        </is>
      </c>
    </row>
    <row r="25">
      <c r="A25" s="4" t="inlineStr">
        <is>
          <t xml:space="preserve">   Quanto cada instalacao consome e [A CALIBRAR] - pertence ao modulo de Refugio.</t>
        </is>
      </c>
    </row>
    <row r="26">
      <c r="A26" s="4" t="n"/>
    </row>
    <row r="27">
      <c r="A27" s="4" t="inlineStr">
        <is>
          <t>SORO DE CAMPO: 2 unidades de QUIMICA por soro. Sem Quimica, o descanso longo passa em branco.</t>
        </is>
      </c>
    </row>
    <row r="28">
      <c r="A28" s="4" t="inlineStr">
        <is>
          <t xml:space="preserve">   ATENCAO: a tabela de saque entrega pouca Quimica; a fonte confiavel sera o Bloco 6 (faccoes).</t>
        </is>
      </c>
    </row>
    <row r="29">
      <c r="A29" s="4" t="n"/>
    </row>
    <row r="30">
      <c r="A30" s="4" t="inlineStr">
        <is>
          <t>AINDA [A CALIBRAR]: consumo do gerador por instalacao | combustivel de VEICULO (nao e Carga!) |</t>
        </is>
      </c>
    </row>
    <row r="31">
      <c r="A31" s="4" t="inlineStr">
        <is>
          <t xml:space="preserve">   agua, comida e peso NAO sao modelados no MVP.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4.4"/>
  <cols>
    <col width="40" customWidth="1" min="1" max="1"/>
    <col width="10" customWidth="1" min="2" max="6"/>
    <col width="14" customWidth="1" min="7" max="7"/>
  </cols>
  <sheetData>
    <row r="1" ht="16.8" customHeight="1">
      <c r="A1" s="1" t="inlineStr">
        <is>
          <t>Saque do grupo - tabela unica (Aprovacoes 032 e 033)</t>
        </is>
      </c>
    </row>
    <row r="2">
      <c r="A2" s="2" t="inlineStr">
        <is>
          <t>Uma rolagem POR GRUPO, oportunidade concedida pelo Mestre (~6 por Patamar). Nunca recompensa automatica de combate. Teste de Sobrevivencia CD 13: sucesso = 3d6 mantendo os 2 maiores; falha = os 2 menores. Media 7,1 itens.</t>
        </is>
      </c>
    </row>
    <row r="4">
      <c r="A4" s="5" t="inlineStr">
        <is>
          <t>Resultado (1d100 por item)</t>
        </is>
      </c>
      <c r="B4" s="5" t="inlineStr">
        <is>
          <t>P1</t>
        </is>
      </c>
      <c r="C4" s="5" t="inlineStr">
        <is>
          <t>P2</t>
        </is>
      </c>
      <c r="D4" s="5" t="inlineStr">
        <is>
          <t>P3</t>
        </is>
      </c>
      <c r="E4" s="5" t="inlineStr">
        <is>
          <t>P4</t>
        </is>
      </c>
      <c r="F4" s="5" t="inlineStr">
        <is>
          <t>P5</t>
        </is>
      </c>
      <c r="G4" s="5" t="inlineStr">
        <is>
          <t>Quantidade</t>
        </is>
      </c>
    </row>
    <row r="5">
      <c r="A5" s="20" t="inlineStr">
        <is>
          <t>Nada aproveitavel</t>
        </is>
      </c>
      <c r="B5" s="13" t="inlineStr">
        <is>
          <t>01-12</t>
        </is>
      </c>
      <c r="C5" s="13" t="inlineStr">
        <is>
          <t>01-10</t>
        </is>
      </c>
      <c r="D5" s="13" t="inlineStr">
        <is>
          <t>01-08</t>
        </is>
      </c>
      <c r="E5" s="13" t="inlineStr">
        <is>
          <t>01-06</t>
        </is>
      </c>
      <c r="F5" s="13" t="inlineStr">
        <is>
          <t>01-07</t>
        </is>
      </c>
      <c r="G5" s="13" t="inlineStr">
        <is>
          <t>-</t>
        </is>
      </c>
    </row>
    <row r="6">
      <c r="A6" s="18" t="inlineStr">
        <is>
          <t>Sucata</t>
        </is>
      </c>
      <c r="B6" s="13" t="inlineStr">
        <is>
          <t>13-24</t>
        </is>
      </c>
      <c r="C6" s="13" t="inlineStr">
        <is>
          <t>11-19</t>
        </is>
      </c>
      <c r="D6" s="13" t="inlineStr">
        <is>
          <t>09-16</t>
        </is>
      </c>
      <c r="E6" s="13" t="inlineStr">
        <is>
          <t>07-12</t>
        </is>
      </c>
      <c r="F6" s="13" t="inlineStr">
        <is>
          <t>08-12</t>
        </is>
      </c>
      <c r="G6" s="13" t="inlineStr">
        <is>
          <t>1d6</t>
        </is>
      </c>
    </row>
    <row r="7">
      <c r="A7" s="18" t="inlineStr">
        <is>
          <t>Pecas Mecanicas ou Fiacao (1d2)</t>
        </is>
      </c>
      <c r="B7" s="13" t="inlineStr">
        <is>
          <t>25-32</t>
        </is>
      </c>
      <c r="C7" s="13" t="inlineStr">
        <is>
          <t>20-27</t>
        </is>
      </c>
      <c r="D7" s="13" t="inlineStr">
        <is>
          <t>17-23</t>
        </is>
      </c>
      <c r="E7" s="13" t="inlineStr">
        <is>
          <t>13-18</t>
        </is>
      </c>
      <c r="F7" s="13" t="inlineStr">
        <is>
          <t>13-17</t>
        </is>
      </c>
      <c r="G7" s="13" t="inlineStr">
        <is>
          <t>1d3</t>
        </is>
      </c>
    </row>
    <row r="8">
      <c r="A8" s="18" t="inlineStr">
        <is>
          <t>Componente Incomum (1d4)</t>
        </is>
      </c>
      <c r="B8" s="13" t="inlineStr">
        <is>
          <t>33-37</t>
        </is>
      </c>
      <c r="C8" s="13" t="inlineStr">
        <is>
          <t>28-33</t>
        </is>
      </c>
      <c r="D8" s="13" t="inlineStr">
        <is>
          <t>24-30</t>
        </is>
      </c>
      <c r="E8" s="13" t="inlineStr">
        <is>
          <t>19-26</t>
        </is>
      </c>
      <c r="F8" s="13" t="inlineStr">
        <is>
          <t>18-25</t>
        </is>
      </c>
      <c r="G8" s="13" t="inlineStr">
        <is>
          <t>1</t>
        </is>
      </c>
    </row>
    <row r="9">
      <c r="A9" s="27" t="inlineStr">
        <is>
          <t>Liga Pre-Queda</t>
        </is>
      </c>
      <c r="B9" s="13" t="inlineStr">
        <is>
          <t>38</t>
        </is>
      </c>
      <c r="C9" s="13" t="inlineStr">
        <is>
          <t>34-35</t>
        </is>
      </c>
      <c r="D9" s="13" t="inlineStr">
        <is>
          <t>31-33</t>
        </is>
      </c>
      <c r="E9" s="13" t="inlineStr">
        <is>
          <t>27-30</t>
        </is>
      </c>
      <c r="F9" s="13" t="inlineStr">
        <is>
          <t>26-30</t>
        </is>
      </c>
      <c r="G9" s="13" t="inlineStr">
        <is>
          <t>1</t>
        </is>
      </c>
    </row>
    <row r="10">
      <c r="A10" s="18" t="inlineStr">
        <is>
          <t>Municao Leve</t>
        </is>
      </c>
      <c r="B10" s="13" t="inlineStr">
        <is>
          <t>39-50</t>
        </is>
      </c>
      <c r="C10" s="13" t="inlineStr">
        <is>
          <t>36-47</t>
        </is>
      </c>
      <c r="D10" s="13" t="inlineStr">
        <is>
          <t>34-45</t>
        </is>
      </c>
      <c r="E10" s="13" t="inlineStr">
        <is>
          <t>31-42</t>
        </is>
      </c>
      <c r="F10" s="13" t="inlineStr">
        <is>
          <t>31-42</t>
        </is>
      </c>
      <c r="G10" s="13" t="inlineStr">
        <is>
          <t>1d6 x 3</t>
        </is>
      </c>
    </row>
    <row r="11">
      <c r="A11" s="18" t="inlineStr">
        <is>
          <t>Municao Pesado</t>
        </is>
      </c>
      <c r="B11" s="13" t="inlineStr">
        <is>
          <t>51-56</t>
        </is>
      </c>
      <c r="C11" s="13" t="inlineStr">
        <is>
          <t>48-53</t>
        </is>
      </c>
      <c r="D11" s="13" t="inlineStr">
        <is>
          <t>46-51</t>
        </is>
      </c>
      <c r="E11" s="13" t="inlineStr">
        <is>
          <t>43-48</t>
        </is>
      </c>
      <c r="F11" s="13" t="inlineStr">
        <is>
          <t>43-48</t>
        </is>
      </c>
      <c r="G11" s="13" t="inlineStr">
        <is>
          <t>1d6 x 5</t>
        </is>
      </c>
    </row>
    <row r="12">
      <c r="A12" s="18" t="inlineStr">
        <is>
          <t>Municao Cartucho</t>
        </is>
      </c>
      <c r="B12" s="13" t="inlineStr">
        <is>
          <t>57-62</t>
        </is>
      </c>
      <c r="C12" s="13" t="inlineStr">
        <is>
          <t>54-59</t>
        </is>
      </c>
      <c r="D12" s="13" t="inlineStr">
        <is>
          <t>52-57</t>
        </is>
      </c>
      <c r="E12" s="13" t="inlineStr">
        <is>
          <t>49-54</t>
        </is>
      </c>
      <c r="F12" s="13" t="inlineStr">
        <is>
          <t>49-54</t>
        </is>
      </c>
      <c r="G12" s="13" t="inlineStr">
        <is>
          <t>1d6 x 4</t>
        </is>
      </c>
    </row>
    <row r="13">
      <c r="A13" s="18" t="inlineStr">
        <is>
          <t>Municao Rifle</t>
        </is>
      </c>
      <c r="B13" s="13" t="inlineStr">
        <is>
          <t>63-66</t>
        </is>
      </c>
      <c r="C13" s="13" t="inlineStr">
        <is>
          <t>60-63</t>
        </is>
      </c>
      <c r="D13" s="13" t="inlineStr">
        <is>
          <t>58-61</t>
        </is>
      </c>
      <c r="E13" s="13" t="inlineStr">
        <is>
          <t>55-58</t>
        </is>
      </c>
      <c r="F13" s="13" t="inlineStr">
        <is>
          <t>55-58</t>
        </is>
      </c>
      <c r="G13" s="13" t="inlineStr">
        <is>
          <t>1d6 x 7</t>
        </is>
      </c>
    </row>
    <row r="14">
      <c r="A14" s="18" t="inlineStr">
        <is>
          <t>Projeteis</t>
        </is>
      </c>
      <c r="B14" s="13" t="inlineStr">
        <is>
          <t>67-69</t>
        </is>
      </c>
      <c r="C14" s="13" t="inlineStr">
        <is>
          <t>64-66</t>
        </is>
      </c>
      <c r="D14" s="13" t="inlineStr">
        <is>
          <t>62-64</t>
        </is>
      </c>
      <c r="E14" s="13" t="inlineStr">
        <is>
          <t>59-61</t>
        </is>
      </c>
      <c r="F14" s="13" t="inlineStr">
        <is>
          <t>59-61</t>
        </is>
      </c>
      <c r="G14" s="13" t="inlineStr">
        <is>
          <t>1d6 x 3</t>
        </is>
      </c>
    </row>
    <row r="15">
      <c r="A15" s="18" t="inlineStr">
        <is>
          <t>Consumivel (1d6)</t>
        </is>
      </c>
      <c r="B15" s="13" t="inlineStr">
        <is>
          <t>70-72</t>
        </is>
      </c>
      <c r="C15" s="13" t="inlineStr">
        <is>
          <t>67-69</t>
        </is>
      </c>
      <c r="D15" s="13" t="inlineStr">
        <is>
          <t>65-67</t>
        </is>
      </c>
      <c r="E15" s="13" t="inlineStr">
        <is>
          <t>62-64</t>
        </is>
      </c>
      <c r="F15" s="13" t="inlineStr">
        <is>
          <t>62-64</t>
        </is>
      </c>
      <c r="G15" s="13" t="inlineStr">
        <is>
          <t>1</t>
        </is>
      </c>
    </row>
    <row r="16">
      <c r="A16" s="18" t="inlineStr">
        <is>
          <t>Item Comum (1d6: 1-3 arma, 4-6 equip.)</t>
        </is>
      </c>
      <c r="B16" s="13" t="inlineStr">
        <is>
          <t>73-88</t>
        </is>
      </c>
      <c r="C16" s="13" t="inlineStr">
        <is>
          <t>70-81</t>
        </is>
      </c>
      <c r="D16" s="13" t="inlineStr">
        <is>
          <t>68-75</t>
        </is>
      </c>
      <c r="E16" s="13" t="inlineStr">
        <is>
          <t>65-70</t>
        </is>
      </c>
      <c r="F16" s="13" t="inlineStr">
        <is>
          <t>65-68</t>
        </is>
      </c>
      <c r="G16" s="13" t="inlineStr">
        <is>
          <t>1</t>
        </is>
      </c>
    </row>
    <row r="17">
      <c r="A17" s="18" t="inlineStr">
        <is>
          <t>Item Incomum</t>
        </is>
      </c>
      <c r="B17" s="13" t="inlineStr">
        <is>
          <t>89-98</t>
        </is>
      </c>
      <c r="C17" s="13" t="inlineStr">
        <is>
          <t>82-94</t>
        </is>
      </c>
      <c r="D17" s="13" t="inlineStr">
        <is>
          <t>76-88</t>
        </is>
      </c>
      <c r="E17" s="13" t="inlineStr">
        <is>
          <t>71-82</t>
        </is>
      </c>
      <c r="F17" s="13" t="inlineStr">
        <is>
          <t>69-78</t>
        </is>
      </c>
      <c r="G17" s="13" t="inlineStr">
        <is>
          <t>1</t>
        </is>
      </c>
    </row>
    <row r="18">
      <c r="A18" s="18" t="inlineStr">
        <is>
          <t>Item Raro</t>
        </is>
      </c>
      <c r="B18" s="13" t="inlineStr">
        <is>
          <t>99-100</t>
        </is>
      </c>
      <c r="C18" s="13" t="inlineStr">
        <is>
          <t>95-99</t>
        </is>
      </c>
      <c r="D18" s="13" t="inlineStr">
        <is>
          <t>89-97</t>
        </is>
      </c>
      <c r="E18" s="13" t="inlineStr">
        <is>
          <t>83-94</t>
        </is>
      </c>
      <c r="F18" s="13" t="inlineStr">
        <is>
          <t>79-91</t>
        </is>
      </c>
      <c r="G18" s="13" t="inlineStr">
        <is>
          <t>1</t>
        </is>
      </c>
    </row>
    <row r="19">
      <c r="A19" s="27" t="inlineStr">
        <is>
          <t>Item Epico</t>
        </is>
      </c>
      <c r="B19" s="13" t="inlineStr">
        <is>
          <t>-</t>
        </is>
      </c>
      <c r="C19" s="13" t="inlineStr">
        <is>
          <t>100</t>
        </is>
      </c>
      <c r="D19" s="13" t="inlineStr">
        <is>
          <t>98-100</t>
        </is>
      </c>
      <c r="E19" s="13" t="inlineStr">
        <is>
          <t>95-100</t>
        </is>
      </c>
      <c r="F19" s="13" t="inlineStr">
        <is>
          <t>92-100</t>
        </is>
      </c>
      <c r="G19" s="13" t="inlineStr">
        <is>
          <t>1</t>
        </is>
      </c>
    </row>
    <row r="22">
      <c r="A22" s="5" t="inlineStr">
        <is>
          <t>Ritmo medido (grupo de 4, acumulado)</t>
        </is>
      </c>
      <c r="B22" s="5" t="inlineStr">
        <is>
          <t>P1</t>
        </is>
      </c>
      <c r="C22" s="5" t="inlineStr">
        <is>
          <t>P2</t>
        </is>
      </c>
      <c r="D22" s="5" t="inlineStr">
        <is>
          <t>P3</t>
        </is>
      </c>
      <c r="E22" s="5" t="inlineStr">
        <is>
          <t>P4</t>
        </is>
      </c>
      <c r="F22" s="5" t="inlineStr">
        <is>
          <t>P5</t>
        </is>
      </c>
      <c r="G22" s="5" t="inlineStr">
        <is>
          <t>Meta</t>
        </is>
      </c>
    </row>
    <row r="23">
      <c r="A23" s="18" t="inlineStr">
        <is>
          <t>Item Incomum</t>
        </is>
      </c>
      <c r="B23" s="13" t="n">
        <v>4.3</v>
      </c>
      <c r="C23" s="13" t="n">
        <v>9.9</v>
      </c>
      <c r="D23" s="13" t="n">
        <v>15.4</v>
      </c>
      <c r="E23" s="13" t="n">
        <v>20.6</v>
      </c>
      <c r="F23" s="13" t="n">
        <v>24.8</v>
      </c>
      <c r="G23" s="13" t="inlineStr">
        <is>
          <t>~1/pers. no P1</t>
        </is>
      </c>
    </row>
    <row r="24">
      <c r="A24" s="18" t="inlineStr">
        <is>
          <t>Item Raro</t>
        </is>
      </c>
      <c r="B24" s="13" t="n">
        <v>0.9</v>
      </c>
      <c r="C24" s="13" t="n">
        <v>3</v>
      </c>
      <c r="D24" s="13" t="n">
        <v>6.9</v>
      </c>
      <c r="E24" s="13" t="n">
        <v>12</v>
      </c>
      <c r="F24" s="13" t="n">
        <v>17.6</v>
      </c>
      <c r="G24" s="13" t="inlineStr">
        <is>
          <t>~1/pers. no P2</t>
        </is>
      </c>
    </row>
    <row r="25">
      <c r="A25" s="18" t="inlineStr">
        <is>
          <t>Item Epico</t>
        </is>
      </c>
      <c r="B25" s="13" t="n">
        <v>0</v>
      </c>
      <c r="C25" s="13" t="n">
        <v>0.4</v>
      </c>
      <c r="D25" s="13" t="n">
        <v>1.7</v>
      </c>
      <c r="E25" s="13" t="n">
        <v>4.3</v>
      </c>
      <c r="F25" s="13" t="n">
        <v>8.199999999999999</v>
      </c>
      <c r="G25" s="13" t="inlineStr">
        <is>
          <t>1-2/pers. no P5</t>
        </is>
      </c>
    </row>
    <row r="26">
      <c r="A26" s="18" t="inlineStr">
        <is>
          <t>Liga Pre-Queda</t>
        </is>
      </c>
      <c r="B26" s="13" t="n">
        <v>0.4</v>
      </c>
      <c r="C26" s="13" t="n">
        <v>1.3</v>
      </c>
      <c r="D26" s="13" t="n">
        <v>2.6</v>
      </c>
      <c r="E26" s="13" t="n">
        <v>4.3</v>
      </c>
      <c r="F26" s="13" t="n">
        <v>6.4</v>
      </c>
      <c r="G26" s="13" t="inlineStr">
        <is>
          <t>gargalo</t>
        </is>
      </c>
    </row>
    <row r="27">
      <c r="A27" s="18" t="inlineStr">
        <is>
          <t>% combates c/ municao - Rifle</t>
        </is>
      </c>
      <c r="B27" s="13" t="inlineStr">
        <is>
          <t>27%</t>
        </is>
      </c>
      <c r="C27" s="13" t="inlineStr">
        <is>
          <t>20%</t>
        </is>
      </c>
      <c r="D27" s="13" t="inlineStr">
        <is>
          <t>20%</t>
        </is>
      </c>
      <c r="E27" s="13" t="inlineStr">
        <is>
          <t>20%</t>
        </is>
      </c>
      <c r="F27" s="13" t="inlineStr">
        <is>
          <t>20%</t>
        </is>
      </c>
      <c r="G27" s="13" t="inlineStr">
        <is>
          <t>~20-27%</t>
        </is>
      </c>
    </row>
    <row r="28">
      <c r="A28" s="18" t="inlineStr">
        <is>
          <t>% combates c/ municao - Pistola</t>
        </is>
      </c>
      <c r="B28" s="13" t="inlineStr">
        <is>
          <t>23%</t>
        </is>
      </c>
      <c r="C28" s="13" t="inlineStr">
        <is>
          <t>22%</t>
        </is>
      </c>
      <c r="D28" s="13" t="inlineStr">
        <is>
          <t>23%</t>
        </is>
      </c>
      <c r="E28" s="13" t="inlineStr">
        <is>
          <t>23%</t>
        </is>
      </c>
      <c r="F28" s="13" t="inlineStr">
        <is>
          <t>22%</t>
        </is>
      </c>
      <c r="G28" s="13" t="inlineStr">
        <is>
          <t>~20-27%</t>
        </is>
      </c>
    </row>
    <row r="29">
      <c r="A29" s="18" t="inlineStr">
        <is>
          <t>% combates c/ municao - Espingarda</t>
        </is>
      </c>
      <c r="B29" s="13" t="inlineStr">
        <is>
          <t>27%</t>
        </is>
      </c>
      <c r="C29" s="13" t="inlineStr">
        <is>
          <t>27%</t>
        </is>
      </c>
      <c r="D29" s="13" t="inlineStr">
        <is>
          <t>27%</t>
        </is>
      </c>
      <c r="E29" s="13" t="inlineStr">
        <is>
          <t>28%</t>
        </is>
      </c>
      <c r="F29" s="13" t="inlineStr">
        <is>
          <t>27%</t>
        </is>
      </c>
      <c r="G29" s="13" t="inlineStr">
        <is>
          <t>~20-27%</t>
        </is>
      </c>
    </row>
    <row r="32">
      <c r="A32" s="4" t="inlineStr">
        <is>
          <t>SUB-ROLAGENS: Item -&gt; 1d6 (1-3 arma, 4-6 equipamento; ate o Bloco 4, equipamento vira arma), sorteia da lista da raridade.</t>
        </is>
      </c>
    </row>
    <row r="33">
      <c r="A33" s="4" t="inlineStr">
        <is>
          <t xml:space="preserve">   Componente Incomum -&gt; 1d4: Quimica, Optica, Eletronicos, Celula de Energia.</t>
        </is>
      </c>
    </row>
    <row r="34">
      <c r="A34" s="4" t="inlineStr">
        <is>
          <t xml:space="preserve">   Consumivel -&gt; 1d6: 1-3 Municao Especial pronta, 4-5 Granada de Atordoamento, 6 Soro de Campo.</t>
        </is>
      </c>
    </row>
    <row r="35">
      <c r="A35" s="4" t="inlineStr">
        <is>
          <t>Armas ABUNDANTES nao estao na tabela: o Mestre as poe no cenario. MITICO NUNCA.</t>
        </is>
      </c>
    </row>
    <row r="36">
      <c r="A36" s="4" t="inlineStr">
        <is>
          <t>Lotes maiores nos calibres escassos de proposito: achar municao de rifle e raro; quando acontece, e uma caixa.</t>
        </is>
      </c>
    </row>
    <row r="37">
      <c r="A37" s="4" t="n"/>
    </row>
    <row r="38">
      <c r="A38" s="4" t="inlineStr">
        <is>
          <t>AZAR: 5% dos grupos terminam o P2 sem item Raro | 17% terminam o P3 sem Epico | 65% terminam o P1 sem Liga.</t>
        </is>
      </c>
    </row>
    <row r="39">
      <c r="A39" s="4" t="n"/>
    </row>
    <row r="40">
      <c r="A40" s="4" t="inlineStr">
        <is>
          <t>CONSEQUENCIA ACEITA: componentes Incomuns sao duros (~2 no P1 inteiro). Medico (Quimica), Cientista/Construtor (Liga)</t>
        </is>
      </c>
    </row>
    <row r="41">
      <c r="A41" s="4" t="inlineStr">
        <is>
          <t xml:space="preserve">   e a Volt-9 (6 Celulas) sofrem. A VALVULA e o Bloco 6: faccoes neutras vendem componentes de forma confiavel, mas caro.</t>
        </is>
      </c>
    </row>
    <row r="42">
      <c r="A42" s="4" t="n"/>
    </row>
    <row r="43">
      <c r="A43" s="4" t="inlineStr">
        <is>
          <t>RARIDADE (Aprov. 032): Abundante - Comum - Incomum - Raro - Epico - Mitico. Mede quao dificil e ACHAR, nao quao bom e.</t>
        </is>
      </c>
    </row>
    <row r="44">
      <c r="A44" s="4" t="inlineStr">
        <is>
          <t xml:space="preserve">   Mitico = a antiga 'raridade extrema': nunca cai de tabela, decisao exclusiva do Diretor.</t>
        </is>
      </c>
    </row>
    <row r="45">
      <c r="A45" s="4" t="inlineStr">
        <is>
          <t xml:space="preserve">   A raridade de cada arma esta na coluna Raridade das abas de armas.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4.4"/>
  <cols>
    <col width="18" customWidth="1" min="1" max="1"/>
    <col width="12" customWidth="1" min="2" max="2"/>
    <col width="16" customWidth="1" min="3" max="3"/>
    <col width="18" customWidth="1" min="4" max="4"/>
    <col width="44" customWidth="1" min="5" max="5"/>
  </cols>
  <sheetData>
    <row r="1" ht="16.8" customHeight="1">
      <c r="A1" s="1" t="inlineStr">
        <is>
          <t>Escala de Defesa e ataque (Aprovacao 029)</t>
        </is>
      </c>
    </row>
    <row r="2">
      <c r="A2" s="2" t="inlineStr">
        <is>
          <t>Defesa = 10 + mod. AGI (limitado pela categoria) + armadura + escudo + cobertura.  Faixa pratica: 10 a 22.</t>
        </is>
      </c>
    </row>
    <row r="4">
      <c r="A4" s="5" t="inlineStr">
        <is>
          <t>Categoria</t>
        </is>
      </c>
      <c r="B4" s="5" t="inlineStr">
        <is>
          <t>Bonus</t>
        </is>
      </c>
      <c r="C4" s="5" t="inlineStr">
        <is>
          <t>Limite mod. AGI</t>
        </is>
      </c>
      <c r="D4" s="5" t="inlineStr">
        <is>
          <t>FOR minima</t>
        </is>
      </c>
      <c r="E4" s="5" t="inlineStr">
        <is>
          <t>Penalidade</t>
        </is>
      </c>
    </row>
    <row r="5">
      <c r="A5" s="18" t="inlineStr">
        <is>
          <t>Nenhuma</t>
        </is>
      </c>
      <c r="B5" s="13" t="inlineStr">
        <is>
          <t>+0</t>
        </is>
      </c>
      <c r="C5" s="13" t="inlineStr">
        <is>
          <t>sem limite</t>
        </is>
      </c>
      <c r="D5" s="13" t="inlineStr">
        <is>
          <t>-</t>
        </is>
      </c>
      <c r="E5" s="10" t="inlineStr">
        <is>
          <t>-</t>
        </is>
      </c>
    </row>
    <row r="6">
      <c r="A6" s="18" t="inlineStr">
        <is>
          <t>Leve</t>
        </is>
      </c>
      <c r="B6" s="13" t="inlineStr">
        <is>
          <t>+1 a +3</t>
        </is>
      </c>
      <c r="C6" s="13" t="inlineStr">
        <is>
          <t>sem limite</t>
        </is>
      </c>
      <c r="D6" s="13" t="inlineStr">
        <is>
          <t>-</t>
        </is>
      </c>
      <c r="E6" s="10" t="inlineStr">
        <is>
          <t>-</t>
        </is>
      </c>
    </row>
    <row r="7">
      <c r="A7" s="18" t="inlineStr">
        <is>
          <t>Media</t>
        </is>
      </c>
      <c r="B7" s="13" t="inlineStr">
        <is>
          <t>+3 a +5</t>
        </is>
      </c>
      <c r="C7" s="13" t="inlineStr">
        <is>
          <t>maximo +2</t>
        </is>
      </c>
      <c r="D7" s="13" t="n">
        <v>12</v>
      </c>
      <c r="E7" s="10" t="inlineStr">
        <is>
          <t>-</t>
        </is>
      </c>
    </row>
    <row r="8">
      <c r="A8" s="18" t="inlineStr">
        <is>
          <t>Pesada</t>
        </is>
      </c>
      <c r="B8" s="13" t="inlineStr">
        <is>
          <t>+5 a +7</t>
        </is>
      </c>
      <c r="C8" s="13" t="inlineStr">
        <is>
          <t>maximo +0</t>
        </is>
      </c>
      <c r="D8" s="13" t="n">
        <v>14</v>
      </c>
      <c r="E8" s="10" t="inlineStr">
        <is>
          <t>Desvantagem em Furtividade</t>
        </is>
      </c>
    </row>
    <row r="9">
      <c r="A9" s="18" t="inlineStr">
        <is>
          <t>Escudo leve</t>
        </is>
      </c>
      <c r="B9" s="13" t="inlineStr">
        <is>
          <t>+1 a +2</t>
        </is>
      </c>
      <c r="C9" s="13" t="inlineStr">
        <is>
          <t>-</t>
        </is>
      </c>
      <c r="D9" s="13" t="inlineStr">
        <is>
          <t>-</t>
        </is>
      </c>
      <c r="E9" s="10" t="inlineStr">
        <is>
          <t>ocupa uma mao</t>
        </is>
      </c>
    </row>
    <row r="10">
      <c r="A10" s="18" t="inlineStr">
        <is>
          <t>Escudo pesado</t>
        </is>
      </c>
      <c r="B10" s="13" t="inlineStr">
        <is>
          <t>+3</t>
        </is>
      </c>
      <c r="C10" s="13" t="inlineStr">
        <is>
          <t>-</t>
        </is>
      </c>
      <c r="D10" s="13" t="n">
        <v>12</v>
      </c>
      <c r="E10" s="10" t="inlineStr">
        <is>
          <t>ocupa uma mao; Desvantagem em Furtividade</t>
        </is>
      </c>
    </row>
    <row r="13">
      <c r="A13" s="5" t="inlineStr">
        <is>
          <t>ND</t>
        </is>
      </c>
      <c r="B13" s="5" t="inlineStr">
        <is>
          <t>Ataque</t>
        </is>
      </c>
      <c r="C13" s="5" t="inlineStr">
        <is>
          <t>Defesa esperada</t>
        </is>
      </c>
      <c r="D13" s="5" t="inlineStr">
        <is>
          <t>P(acerto) equipado</t>
        </is>
      </c>
      <c r="E13" s="5" t="inlineStr">
        <is>
          <t>P(acerto) pelado</t>
        </is>
      </c>
    </row>
    <row r="14">
      <c r="A14" s="28" t="inlineStr">
        <is>
          <t>ND 0</t>
        </is>
      </c>
      <c r="B14" s="13" t="inlineStr">
        <is>
          <t>+4</t>
        </is>
      </c>
      <c r="C14" s="13" t="n">
        <v>15</v>
      </c>
      <c r="D14" s="29">
        <f>MIN(0.95,MAX(0.05,(21-(C14-4))/20))</f>
        <v/>
      </c>
      <c r="E14" s="29">
        <f>MIN(0.95,MAX(0.05,(21-(13-4))/20))</f>
        <v/>
      </c>
    </row>
    <row r="15">
      <c r="A15" s="28" t="inlineStr">
        <is>
          <t>ND 1</t>
        </is>
      </c>
      <c r="B15" s="13" t="inlineStr">
        <is>
          <t>+5</t>
        </is>
      </c>
      <c r="C15" s="13" t="n">
        <v>16</v>
      </c>
      <c r="D15" s="29">
        <f>MIN(0.95,MAX(0.05,(21-(C15-5))/20))</f>
        <v/>
      </c>
      <c r="E15" s="29">
        <f>MIN(0.95,MAX(0.05,(21-(13-5))/20))</f>
        <v/>
      </c>
    </row>
    <row r="16">
      <c r="A16" s="28" t="inlineStr">
        <is>
          <t>ND 2</t>
        </is>
      </c>
      <c r="B16" s="13" t="inlineStr">
        <is>
          <t>+7</t>
        </is>
      </c>
      <c r="C16" s="13" t="n">
        <v>17</v>
      </c>
      <c r="D16" s="29">
        <f>MIN(0.95,MAX(0.05,(21-(C16-7))/20))</f>
        <v/>
      </c>
      <c r="E16" s="29">
        <f>MIN(0.95,MAX(0.05,(21-(13-7))/20))</f>
        <v/>
      </c>
    </row>
    <row r="17">
      <c r="A17" s="28" t="inlineStr">
        <is>
          <t>ND 3</t>
        </is>
      </c>
      <c r="B17" s="13" t="inlineStr">
        <is>
          <t>+8</t>
        </is>
      </c>
      <c r="C17" s="13" t="n">
        <v>18</v>
      </c>
      <c r="D17" s="29">
        <f>MIN(0.95,MAX(0.05,(21-(C17-8))/20))</f>
        <v/>
      </c>
      <c r="E17" s="29">
        <f>MIN(0.95,MAX(0.05,(21-(13-8))/20))</f>
        <v/>
      </c>
    </row>
    <row r="18">
      <c r="A18" s="28" t="inlineStr">
        <is>
          <t>ND 4</t>
        </is>
      </c>
      <c r="B18" s="13" t="inlineStr">
        <is>
          <t>+10</t>
        </is>
      </c>
      <c r="C18" s="13" t="n">
        <v>19</v>
      </c>
      <c r="D18" s="29">
        <f>MIN(0.95,MAX(0.05,(21-(C18-10))/20))</f>
        <v/>
      </c>
      <c r="E18" s="30">
        <f>MIN(0.95,MAX(0.05,(21-(13-10))/20))</f>
        <v/>
      </c>
    </row>
    <row r="19">
      <c r="A19" s="28" t="inlineStr">
        <is>
          <t>ND 5</t>
        </is>
      </c>
      <c r="B19" s="13" t="inlineStr">
        <is>
          <t>+11</t>
        </is>
      </c>
      <c r="C19" s="13" t="n">
        <v>20</v>
      </c>
      <c r="D19" s="29">
        <f>MIN(0.95,MAX(0.05,(21-(C19-11))/20))</f>
        <v/>
      </c>
      <c r="E19" s="30">
        <f>MIN(0.95,MAX(0.05,(21-(13-11))/20))</f>
        <v/>
      </c>
    </row>
    <row r="22">
      <c r="A22" s="4" t="inlineStr">
        <is>
          <t>MEDIDO (8.000 iteracoes, 4 Zumbis): escalar os DOIS lados preserva a economia de atrito.</t>
        </is>
      </c>
    </row>
    <row r="23">
      <c r="A23" s="4" t="inlineStr">
        <is>
          <t xml:space="preserve">   Sem armadura, zumbi +3 ......... 55% de acerto, 4,03 de Infeccao  (escala antiga)</t>
        </is>
      </c>
    </row>
    <row r="24">
      <c r="A24" s="4" t="inlineStr">
        <is>
          <t xml:space="preserve">   Armadura +3, zumbi +3 .......... 40% de acerto, 3,06 de Infeccao</t>
        </is>
      </c>
    </row>
    <row r="25">
      <c r="A25" s="4" t="inlineStr">
        <is>
          <t xml:space="preserve">   Armadura +6, zumbi +9 .......... 55% de acerto, 4,02 de Infeccao  &lt;- identica a base</t>
        </is>
      </c>
    </row>
    <row r="26">
      <c r="A26" s="4" t="inlineStr">
        <is>
          <t xml:space="preserve">   O que importa e a DIFERENCA LIQUIDA entre Defesa e ataque do tier, nao o valor absoluto.</t>
        </is>
      </c>
    </row>
    <row r="27">
      <c r="A27" s="4" t="n"/>
    </row>
    <row r="28">
      <c r="A28" s="4" t="inlineStr">
        <is>
          <t>NAO HA TETO DE DEFESA. Contra ND 5, o personagem SEM armadura e acertado em 95% das rolagens;</t>
        </is>
      </c>
    </row>
    <row r="29">
      <c r="A29" s="4" t="inlineStr">
        <is>
          <t xml:space="preserve">   o equipado, em 60%. A distancia entre equipamento completo e improviso cresce com o ND.</t>
        </is>
      </c>
    </row>
    <row r="30">
      <c r="A30" s="4" t="n"/>
    </row>
    <row r="31">
      <c r="A31" s="4" t="inlineStr">
        <is>
          <t>O teto de 1d12 e do DADO DE UMA ARMA, nao da criatura: ND alto pode ter 1d12+1d4, 2d8+5, duas acoes.</t>
        </is>
      </c>
    </row>
    <row r="32">
      <c r="A32" s="4" t="inlineStr">
        <is>
          <t>A tabela de DPR das armas NAO se move: ela e calculada contra a Defesa da CRIATURA (14), que nao mudou.</t>
        </is>
      </c>
    </row>
    <row r="33">
      <c r="A33" s="4" t="n"/>
    </row>
    <row r="34">
      <c r="A34" s="4" t="inlineStr">
        <is>
          <t>ARMADURA PESADA NAO E 'MELHOR': AGI 16 ganha so 1 ponto trocando Leve +3 por Pesada +7. E a armadura</t>
        </is>
      </c>
    </row>
    <row r="35">
      <c r="A35" s="4" t="inlineStr">
        <is>
          <t xml:space="preserve">   de quem tem AGI baixa. A FOR minima e gate, nao preco: sem ela a peca nao se veste.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4" customWidth="1" min="2" max="3"/>
    <col width="12" customWidth="1" min="4" max="6"/>
  </cols>
  <sheetData>
    <row r="1" ht="16.8" customHeight="1">
      <c r="A1" s="1" t="inlineStr">
        <is>
          <t>Equipamentos - regras (Aprovacoes 034-035). Catalogo: Bloco 4b (ver docs/GDD_Equipamentos.md S10).</t>
        </is>
      </c>
    </row>
    <row r="3">
      <c r="A3" s="5" t="inlineStr">
        <is>
          <t>Espaco</t>
        </is>
      </c>
      <c r="B3" s="5" t="inlineStr">
        <is>
          <t>Da Defesa?</t>
        </is>
      </c>
      <c r="C3" s="5" t="inlineStr">
        <is>
          <t>Slots de mod.</t>
        </is>
      </c>
      <c r="D3" s="5" t="inlineStr">
        <is>
          <t>Leve</t>
        </is>
      </c>
      <c r="E3" s="5" t="inlineStr">
        <is>
          <t>Media</t>
        </is>
      </c>
      <c r="F3" s="5" t="inlineStr">
        <is>
          <t>Pesada</t>
        </is>
      </c>
    </row>
    <row r="4">
      <c r="A4" s="18" t="inlineStr">
        <is>
          <t>Cabeca</t>
        </is>
      </c>
      <c r="B4" s="13" t="inlineStr">
        <is>
          <t>Media/Pesada</t>
        </is>
      </c>
      <c r="C4" s="13" t="n">
        <v>1</v>
      </c>
      <c r="D4" s="13" t="inlineStr">
        <is>
          <t>+0</t>
        </is>
      </c>
      <c r="E4" s="13" t="inlineStr">
        <is>
          <t>+1</t>
        </is>
      </c>
      <c r="F4" s="13" t="inlineStr">
        <is>
          <t>+1</t>
        </is>
      </c>
    </row>
    <row r="5">
      <c r="A5" s="18" t="inlineStr">
        <is>
          <t>Olhos</t>
        </is>
      </c>
      <c r="B5" s="13" t="inlineStr">
        <is>
          <t>nao (informacao)</t>
        </is>
      </c>
      <c r="C5" s="13" t="n">
        <v>0</v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</row>
    <row r="6">
      <c r="A6" s="18" t="inlineStr">
        <is>
          <t>Corpo</t>
        </is>
      </c>
      <c r="B6" s="13" t="inlineStr">
        <is>
          <t>SIM</t>
        </is>
      </c>
      <c r="C6" s="13" t="n">
        <v>2</v>
      </c>
      <c r="D6" s="13" t="inlineStr">
        <is>
          <t>+1 a +2</t>
        </is>
      </c>
      <c r="E6" s="13" t="inlineStr">
        <is>
          <t>+2 a +3</t>
        </is>
      </c>
      <c r="F6" s="13" t="inlineStr">
        <is>
          <t>+4 a +5</t>
        </is>
      </c>
    </row>
    <row r="7">
      <c r="A7" s="18" t="inlineStr">
        <is>
          <t>Maos</t>
        </is>
      </c>
      <c r="B7" s="13" t="inlineStr">
        <is>
          <t>nao (funcao)</t>
        </is>
      </c>
      <c r="C7" s="13" t="n">
        <v>1</v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</row>
    <row r="8">
      <c r="A8" s="18" t="inlineStr">
        <is>
          <t>Pernas</t>
        </is>
      </c>
      <c r="B8" s="13" t="inlineStr">
        <is>
          <t>sim</t>
        </is>
      </c>
      <c r="C8" s="13" t="n">
        <v>1</v>
      </c>
      <c r="D8" s="13" t="inlineStr">
        <is>
          <t>+1</t>
        </is>
      </c>
      <c r="E8" s="13" t="inlineStr">
        <is>
          <t>+1</t>
        </is>
      </c>
      <c r="F8" s="13" t="inlineStr">
        <is>
          <t>+1</t>
        </is>
      </c>
    </row>
    <row r="9">
      <c r="A9" s="18" t="inlineStr">
        <is>
          <t>Pes</t>
        </is>
      </c>
      <c r="B9" s="13" t="inlineStr">
        <is>
          <t>nao (funcao)</t>
        </is>
      </c>
      <c r="C9" s="13" t="n">
        <v>1</v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</row>
    <row r="10">
      <c r="A10" s="18" t="inlineStr">
        <is>
          <t>Escudo</t>
        </is>
      </c>
      <c r="B10" s="13" t="inlineStr">
        <is>
          <t>sim (proprio)</t>
        </is>
      </c>
      <c r="C10" s="13" t="n">
        <v>2</v>
      </c>
      <c r="D10" s="13" t="inlineStr">
        <is>
          <t>+1 a +2</t>
        </is>
      </c>
      <c r="E10" s="13" t="inlineStr">
        <is>
          <t>-</t>
        </is>
      </c>
      <c r="F10" s="13" t="inlineStr">
        <is>
          <t>+3</t>
        </is>
      </c>
    </row>
    <row r="11">
      <c r="A11" t="inlineStr">
        <is>
          <t>Costas</t>
        </is>
      </c>
      <c r="B11" t="inlineStr">
        <is>
          <t>nao (carga)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18" t="inlineStr">
        <is>
          <t>CONJUNTO</t>
        </is>
      </c>
      <c r="B12" s="28" t="n"/>
      <c r="C12" s="28" t="n"/>
      <c r="D12" s="28" t="inlineStr">
        <is>
          <t>ate +3</t>
        </is>
      </c>
      <c r="E12" s="28" t="inlineStr">
        <is>
          <t>ate +5</t>
        </is>
      </c>
      <c r="F12" s="28" t="inlineStr">
        <is>
          <t>ate +7</t>
        </is>
      </c>
    </row>
    <row r="14" ht="26.4" customHeight="1"/>
    <row r="15">
      <c r="A15" s="5" t="inlineStr">
        <is>
          <t>Estado de desgaste</t>
        </is>
      </c>
      <c r="B15" s="5" t="inlineStr">
        <is>
          <t>Efeito</t>
        </is>
      </c>
      <c r="C15" s="5" t="n"/>
      <c r="D15" s="5" t="inlineStr">
        <is>
          <t>1d6</t>
        </is>
      </c>
      <c r="E15" s="5" t="inlineStr">
        <is>
          <t>Peca atingida</t>
        </is>
      </c>
      <c r="F15" s="5" t="n"/>
    </row>
    <row r="16">
      <c r="A16" s="18" t="inlineStr">
        <is>
          <t>Intacta</t>
        </is>
      </c>
      <c r="B16" s="10" t="inlineStr">
        <is>
          <t>-</t>
        </is>
      </c>
      <c r="C16" s="10" t="n"/>
      <c r="D16" s="18" t="inlineStr">
        <is>
          <t>1-3</t>
        </is>
      </c>
      <c r="E16" s="10" t="inlineStr">
        <is>
          <t>Corpo</t>
        </is>
      </c>
      <c r="F16" s="10" t="n"/>
    </row>
    <row r="17">
      <c r="A17" s="18" t="inlineStr">
        <is>
          <t>Marcada</t>
        </is>
      </c>
      <c r="B17" s="10" t="inlineStr">
        <is>
          <t>-1 Defesa</t>
        </is>
      </c>
      <c r="C17" s="10" t="n"/>
      <c r="D17" s="18" t="inlineStr">
        <is>
          <t>4</t>
        </is>
      </c>
      <c r="E17" s="10" t="inlineStr">
        <is>
          <t>Cabeca (ou Olhos)</t>
        </is>
      </c>
      <c r="F17" s="10" t="n"/>
    </row>
    <row r="18">
      <c r="A18" s="18" t="inlineStr">
        <is>
          <t>Rachada</t>
        </is>
      </c>
      <c r="B18" s="10" t="inlineStr">
        <is>
          <t>-2 Defesa, beneficio OFF</t>
        </is>
      </c>
      <c r="C18" s="10" t="n"/>
      <c r="D18" s="18" t="inlineStr">
        <is>
          <t>5</t>
        </is>
      </c>
      <c r="E18" s="10" t="inlineStr">
        <is>
          <t>Pernas</t>
        </is>
      </c>
      <c r="F18" s="10" t="n"/>
    </row>
    <row r="19">
      <c r="A19" s="18" t="inlineStr">
        <is>
          <t>Destruida</t>
        </is>
      </c>
      <c r="B19" s="10" t="inlineStr">
        <is>
          <t>some</t>
        </is>
      </c>
      <c r="C19" s="10" t="n"/>
      <c r="D19" s="18" t="inlineStr">
        <is>
          <t>6</t>
        </is>
      </c>
      <c r="E19" s="10" t="inlineStr">
        <is>
          <t>Escudo (ou Maos/Pes)</t>
        </is>
      </c>
      <c r="F19" s="10" t="n"/>
    </row>
    <row r="20" ht="39.6" customHeight="1"/>
    <row r="21">
      <c r="A21" s="5" t="inlineStr">
        <is>
          <t>Raridade da peca</t>
        </is>
      </c>
      <c r="B21" s="5" t="inlineStr">
        <is>
          <t>Reparo: custo por estado</t>
        </is>
      </c>
      <c r="C21" s="5" t="n"/>
      <c r="D21" s="5" t="inlineStr">
        <is>
          <t>Patamar</t>
        </is>
      </c>
      <c r="E21" s="5" t="inlineStr">
        <is>
          <t>Combates p/ -1 Def</t>
        </is>
      </c>
      <c r="F21" s="5" t="inlineStr">
        <is>
          <t>Combates p/ destruir Corpo</t>
        </is>
      </c>
    </row>
    <row r="22">
      <c r="A22" s="18" t="inlineStr">
        <is>
          <t>Abundante/Comum</t>
        </is>
      </c>
      <c r="B22" s="10" t="inlineStr">
        <is>
          <t>1 Sucata</t>
        </is>
      </c>
      <c r="C22" s="10" t="n"/>
      <c r="D22" s="28" t="inlineStr">
        <is>
          <t>P1</t>
        </is>
      </c>
      <c r="E22" s="13" t="n">
        <v>8</v>
      </c>
      <c r="F22" s="13" t="n">
        <v>46</v>
      </c>
    </row>
    <row r="23">
      <c r="A23" s="18" t="inlineStr">
        <is>
          <t>Incomum</t>
        </is>
      </c>
      <c r="B23" s="10" t="inlineStr">
        <is>
          <t>1 Pecas Mecanicas</t>
        </is>
      </c>
      <c r="C23" s="10" t="n"/>
      <c r="D23" s="28" t="inlineStr">
        <is>
          <t>P2</t>
        </is>
      </c>
      <c r="E23" s="13" t="n">
        <v>12</v>
      </c>
      <c r="F23" s="13" t="n">
        <v>71</v>
      </c>
    </row>
    <row r="24">
      <c r="A24" s="18" t="inlineStr">
        <is>
          <t>Raro</t>
        </is>
      </c>
      <c r="B24" s="10" t="inlineStr">
        <is>
          <t>1 Componente Incomum</t>
        </is>
      </c>
      <c r="C24" s="10" t="n"/>
      <c r="D24" s="28" t="inlineStr">
        <is>
          <t>P4</t>
        </is>
      </c>
      <c r="E24" s="13" t="n">
        <v>9</v>
      </c>
      <c r="F24" s="13" t="n">
        <v>53</v>
      </c>
    </row>
    <row r="25">
      <c r="A25" s="18" t="inlineStr">
        <is>
          <t>Epico</t>
        </is>
      </c>
      <c r="B25" s="10" t="inlineStr">
        <is>
          <t>1 LIGA PRE-QUEDA</t>
        </is>
      </c>
      <c r="C25" s="10" t="n"/>
      <c r="D25" s="28" t="inlineStr">
        <is>
          <t>P5</t>
        </is>
      </c>
      <c r="E25" s="13" t="n">
        <v>10</v>
      </c>
      <c r="F25" s="13" t="n">
        <v>59</v>
      </c>
    </row>
    <row r="28">
      <c r="A28" s="4" t="inlineStr">
        <is>
          <t>DEFESA DO CONJUNTO = Corpo + Cabeca + Pernas (mais o escudo, componente proprio). Os tetos por espaco reproduzem as</t>
        </is>
      </c>
    </row>
    <row r="29">
      <c r="A29" s="4" t="inlineStr">
        <is>
          <t xml:space="preserve">   faixas da Aprovacao 029. A CATEGORIA DO CONJUNTO E A DA PECA MAIS PESADA: ela impoe limite de AGI e FOR minima (12/14).</t>
        </is>
      </c>
    </row>
    <row r="30">
      <c r="A30" s="4" t="inlineStr">
        <is>
          <t>DESGASTE SO POR CRITICO: cada critico sofrido faz UMA peca descer um estado (local 1d6). So com o 20 natural, o conjunto</t>
        </is>
      </c>
    </row>
    <row r="31">
      <c r="A31" s="4" t="inlineStr">
        <is>
          <t xml:space="preserve">   perde ~1 de Defesa por Patamar. QUEBRA-ARMADURA: 'Rasgar' (1x/combate, ao acertar) e 'Critico 19-20'. Com um</t>
        </is>
      </c>
    </row>
    <row r="32">
      <c r="A32" s="4" t="inlineStr">
        <is>
          <t xml:space="preserve">   quebra-armadura em 1/4 dos encontros: 1 de Defesa a cada 5-7 combates. O TOURO MECANICO tem Rasgar.</t>
        </is>
      </c>
    </row>
    <row r="33">
      <c r="A33" s="4" t="inlineStr">
        <is>
          <t>REPARO: Mecanica na bancada (ou Oficina de Campo), 1 estado por reparo, custo pela raridade. Manter um Epico custa LIGA.</t>
        </is>
      </c>
    </row>
    <row r="34">
      <c r="A34" s="4" t="inlineStr">
        <is>
          <t xml:space="preserve">   REMENDO DE CAMPO (Gambiarra): Mecanica CD 13 + 2 Sucata, mas nunca acima de Marcada. Destruida nao se repara.</t>
        </is>
      </c>
    </row>
    <row r="35">
      <c r="A35" s="4" t="inlineStr">
        <is>
          <t>REGRA DE OURO: modificacao de equipamento NUNCA da Defesa - da efeito.</t>
        </is>
      </c>
    </row>
    <row r="36">
      <c r="A36" s="4" t="inlineStr">
        <is>
          <t>RESISTENCIA POR MATERIAL (emenda a GDD_Combate 6.3): peca de material especifico da UMA resistencia (Balistico Civil =</t>
        </is>
      </c>
    </row>
    <row r="37">
      <c r="A37" s="4" t="inlineStr">
        <is>
          <t xml:space="preserve">   kevlar = Resistente a Perfurante). Graus nao se somam; Necrotico NUNCA vem de equipamento; Rachada desliga.</t>
        </is>
      </c>
    </row>
    <row r="38">
      <c r="A38" s="4" t="inlineStr">
        <is>
          <t>VARIACAO = item-base + modificacao instalada (ou, so equipamento, outro material). Armas NUNCA variam por material.</t>
        </is>
      </c>
    </row>
    <row r="39">
      <c r="A39" s="4" t="inlineStr">
        <is>
          <t xml:space="preserve">   Herda tier e raridade do base; uma raridade acima se a modificacao for de Oficina.</t>
        </is>
      </c>
    </row>
    <row r="40">
      <c r="A40" s="4" t="inlineStr">
        <is>
          <t>VANTAGEM DE EQUIPAMENTO: estreita e permanente. Se cobre a pericia INTEIRA (Luva do Piloto): 1x por descanso longo.</t>
        </is>
      </c>
    </row>
    <row r="41">
      <c r="A41" s="4" t="inlineStr">
        <is>
          <t>EQUIPAMENTO HABILITA, NUNCA REPLICA: um kit deixa qualquer um estancar Sangrando; nenhum copia o Estabilizar do Medico.</t>
        </is>
      </c>
    </row>
    <row r="43">
      <c r="A43" t="inlineStr">
        <is>
          <t>CATALOGO BLOCO 4b (Aprovacao 035): Corpo 16 | Cabeca 11 | Olhos 10 | Maos 12 | Pernas 11 | Pes 10 | Escudo 11 | Kits 11 | Mochilas 4 | Modificacoes de equipamento 13. Lista completa: docs/GDD_Equipamentos.md S10.</t>
        </is>
      </c>
    </row>
    <row r="44">
      <c r="A44" t="inlineStr">
        <is>
          <t>CAPACIDADE DE INVENTARIO fixada (Aprovacao 035): BASE 6 slots sem mochila.</t>
        </is>
      </c>
    </row>
    <row r="45">
      <c r="A45" t="inlineStr">
        <is>
          <t>MOCHILAS (espaco Costas, 0 slots de modificacao): Escolar +4 slots (Abundante) | Trilha +6, Ruido +1 degrau (Comum) | Discreta +3, Vantagem em Furtividade (Incomum) | Tatica Militar +8, FOR min. 12 (Raro).</t>
        </is>
      </c>
    </row>
    <row r="46">
      <c r="A46" t="inlineStr">
        <is>
          <t>CORRECAO DE MATERIAL (Aprovacao 035): Colete Balistico Civil (kevlar) permanece Resistente a PERFURANTE - preserva o nerf medido do Explorador/Besta e o conserto da Lanca (GDD_Combate.md S6.3). Resistente a BALISTICO passa a vir de Placas Balisticas Militares (ceramica, Raro) e do novo Colete de Couro Encouracado (couro c/ placas de sucata, Incomum).</t>
        </is>
      </c>
    </row>
    <row r="47">
      <c r="A47" t="inlineStr">
        <is>
          <t>PERFURANTE DOCUMENTADO (Aprovacao 035): o Saqueador Humano pode vir armado com besta, arco ou lanca do catalogo (GDD_Bestiario.md S7.6) - a resistencia a Perfurante deixa de ser decorativa.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4"/>
  <cols>
    <col width="14" customWidth="1" min="1" max="1"/>
    <col width="22" customWidth="1" min="2" max="2"/>
    <col width="50" customWidth="1" min="3" max="3"/>
    <col width="56" customWidth="1" min="4" max="4"/>
  </cols>
  <sheetData>
    <row r="1" ht="16.8" customHeight="1">
      <c r="A1" s="31" t="inlineStr">
        <is>
          <t>Pools de municao</t>
        </is>
      </c>
    </row>
    <row r="3">
      <c r="A3" s="32" t="inlineStr">
        <is>
          <t>Pool</t>
        </is>
      </c>
      <c r="B3" s="32" t="inlineStr">
        <is>
          <t>Natureza</t>
        </is>
      </c>
      <c r="C3" s="32" t="inlineStr">
        <is>
          <t>Armas que usam</t>
        </is>
      </c>
      <c r="D3" s="32" t="inlineStr">
        <is>
          <t>Nota de economia</t>
        </is>
      </c>
    </row>
    <row r="4">
      <c r="A4" s="33" t="inlineStr">
        <is>
          <t>Leve</t>
        </is>
      </c>
      <c r="B4" s="34" t="inlineStr">
        <is>
          <t>Polvora</t>
        </is>
      </c>
      <c r="C4" s="35" t="inlineStr">
        <is>
          <t>Pistola leve, SMG, SMG M-11</t>
        </is>
      </c>
      <c r="D4" s="35" t="inlineStr">
        <is>
          <t>Abundante. O calibre do sobrevivente comum.</t>
        </is>
      </c>
    </row>
    <row r="5">
      <c r="A5" s="33" t="inlineStr">
        <is>
          <t>Pesado</t>
        </is>
      </c>
      <c r="B5" s="34" t="inlineStr">
        <is>
          <t>Polvora</t>
        </is>
      </c>
      <c r="C5" s="35" t="inlineStr">
        <is>
          <t>Pistola pesada, Revolver, 'Fiador'</t>
        </is>
      </c>
      <c r="D5" s="35" t="inlineStr">
        <is>
          <t>Intermediario.</t>
        </is>
      </c>
    </row>
    <row r="6" ht="26.4" customHeight="1">
      <c r="A6" s="33" t="inlineStr">
        <is>
          <t>Rifle</t>
        </is>
      </c>
      <c r="B6" s="34" t="inlineStr">
        <is>
          <t>Polvora</t>
        </is>
      </c>
      <c r="C6" s="35" t="inlineStr">
        <is>
          <t>Carabina, M-24, Metralhadora, Rifle de caca, Rifle de precisao, 'Testemunha'</t>
        </is>
      </c>
      <c r="D6" s="35" t="inlineStr">
        <is>
          <t>Escasso e disputado. O UNICO que permite Rajada - a escassez e o freio do DPR de 7,28.</t>
        </is>
      </c>
    </row>
    <row r="7">
      <c r="A7" s="33" t="inlineStr">
        <is>
          <t>Cartucho</t>
        </is>
      </c>
      <c r="B7" s="34" t="inlineStr">
        <is>
          <t>Polvora</t>
        </is>
      </c>
      <c r="C7" s="35" t="inlineStr">
        <is>
          <t>Espingarda, 'Portaria', 'Cordao'</t>
        </is>
      </c>
      <c r="D7" s="35" t="inlineStr">
        <is>
          <t>Pool isolado. So serve a quem tem espingarda.</t>
        </is>
      </c>
    </row>
    <row r="8" ht="26.4" customHeight="1">
      <c r="A8" s="33" t="inlineStr">
        <is>
          <t>Projeteis</t>
        </is>
      </c>
      <c r="B8" s="36" t="inlineStr">
        <is>
          <t>RECUPERAVEL</t>
        </is>
      </c>
      <c r="C8" s="35" t="inlineStr">
        <is>
          <t>Arco, Besta de Caca, Besta Pesada, dardos, 'Cantor'</t>
        </is>
      </c>
      <c r="D8" s="35" t="inlineStr">
        <is>
          <t>Pool proprio aprovado na Aprovacao 011. Recupera-se o projetil, mas NAO a carga especial.</t>
        </is>
      </c>
    </row>
    <row r="9">
      <c r="A9" s="33" t="inlineStr">
        <is>
          <t>Exotica</t>
        </is>
      </c>
      <c r="B9" s="34" t="inlineStr">
        <is>
          <t>Fabricada</t>
        </is>
      </c>
      <c r="C9" s="35" t="inlineStr">
        <is>
          <t>'Costureira', 'Ariete'</t>
        </is>
      </c>
      <c r="D9" s="35" t="inlineStr">
        <is>
          <t>LIMITE DE 2 ITENS NO JOGO INTEIRO. Nao se saqueia.</t>
        </is>
      </c>
    </row>
    <row r="11">
      <c r="A11" s="37" t="inlineStr">
        <is>
          <t>Pools compartilhados transformam saque em decisao: 20 de calibre Rifle vale muito para quem tem carabina e nada</t>
        </is>
      </c>
    </row>
    <row r="12">
      <c r="A12" s="37" t="inlineStr">
        <is>
          <t xml:space="preserve">   para quem so tem revolver.</t>
        </is>
      </c>
    </row>
    <row r="13">
      <c r="A13" s="37" t="inlineStr">
        <is>
          <t>MUNICAO PADRAO e o que se saqueia. As melhorias estao na aba Cargas Especiais, e a matriz de quais combinam</t>
        </is>
      </c>
    </row>
    <row r="14">
      <c r="A14" s="37" t="inlineStr">
        <is>
          <t xml:space="preserve">   com quais pools esta na aba Compatibilidade.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4.4"/>
  <cols>
    <col width="16" customWidth="1" min="1" max="1"/>
    <col width="44" customWidth="1" min="2" max="2"/>
    <col width="9" customWidth="1" min="3" max="3"/>
    <col width="18" customWidth="1" min="4" max="4"/>
    <col width="54" customWidth="1" min="5" max="5"/>
  </cols>
  <sheetData>
    <row r="1" ht="16.8" customHeight="1">
      <c r="A1" s="31" t="inlineStr">
        <is>
          <t>Estado de conservacao e travamento</t>
        </is>
      </c>
    </row>
    <row r="3" ht="26.4" customHeight="1">
      <c r="A3" s="32" t="inlineStr">
        <is>
          <t>Estado</t>
        </is>
      </c>
      <c r="B3" s="32" t="inlineStr">
        <is>
          <t>Trava em</t>
        </is>
      </c>
      <c r="C3" s="32" t="inlineStr">
        <is>
          <t>Faixa</t>
        </is>
      </c>
      <c r="D3" s="32" t="inlineStr">
        <is>
          <t>P(trava) por ataque</t>
        </is>
      </c>
      <c r="E3" s="32" t="inlineStr">
        <is>
          <t>Observacao</t>
        </is>
      </c>
    </row>
    <row r="5">
      <c r="A5" s="33" t="inlineStr">
        <is>
          <t>Calibrada</t>
        </is>
      </c>
      <c r="B5" s="38" t="inlineStr">
        <is>
          <t>1 natural confirmado (rola 2o d20, trava se &lt;= 2)</t>
        </is>
      </c>
      <c r="D5" s="34">
        <f>(1/20)*(2/20)</f>
        <v/>
      </c>
      <c r="E5" s="38" t="inlineStr">
        <is>
          <t>Manutencao em dia. Quase nunca trava.</t>
        </is>
      </c>
    </row>
    <row r="6">
      <c r="A6" s="33" t="inlineStr">
        <is>
          <t>Boa</t>
        </is>
      </c>
      <c r="B6" s="38" t="inlineStr">
        <is>
          <t>1 natural</t>
        </is>
      </c>
      <c r="C6" s="39" t="n">
        <v>1</v>
      </c>
      <c r="D6" s="34">
        <f>C6/20</f>
        <v/>
      </c>
      <c r="E6" s="38" t="inlineStr">
        <is>
          <t>Estado de referencia.</t>
        </is>
      </c>
    </row>
    <row r="7">
      <c r="A7" s="33" t="inlineStr">
        <is>
          <t>Desgastada</t>
        </is>
      </c>
      <c r="B7" s="38" t="inlineStr">
        <is>
          <t>1 ou 2</t>
        </is>
      </c>
      <c r="C7" s="39" t="n">
        <v>2</v>
      </c>
      <c r="D7" s="34">
        <f>C7/20</f>
        <v/>
      </c>
      <c r="E7" s="38" t="inlineStr">
        <is>
          <t>Comeca a atrapalhar de forma perceptivel.</t>
        </is>
      </c>
    </row>
    <row r="8">
      <c r="A8" s="33" t="inlineStr">
        <is>
          <t>Arruinada</t>
        </is>
      </c>
      <c r="B8" s="38" t="inlineStr">
        <is>
          <t>1, 2 ou 3</t>
        </is>
      </c>
      <c r="C8" s="39" t="n">
        <v>3</v>
      </c>
      <c r="D8" s="34">
        <f>C8/20</f>
        <v/>
      </c>
      <c r="E8" s="38" t="inlineStr">
        <is>
          <t>Achado de saque tipico. Trava a cada 7 ataques. (Renomeada de Sucata na Aprovacao 018.)</t>
        </is>
      </c>
    </row>
    <row r="10">
      <c r="A10" s="37" t="inlineStr">
        <is>
          <t>Armas de corpo a corpo NUNCA travam - assimetria deliberada a favor delas.</t>
        </is>
      </c>
    </row>
    <row r="11">
      <c r="A11" s="37" t="inlineStr">
        <is>
          <t>DUAS EXCECOES: cada modificacao GAMBIARRA soma +1 a faixa de QUEBRA (inclusive em corpo a corpo), e</t>
        </is>
      </c>
    </row>
    <row r="12">
      <c r="A12" s="37" t="inlineStr">
        <is>
          <t xml:space="preserve">   municao de GAMBIARRA soma +1 a faixa de TRAVAMENTO enquanto estiver carregada.</t>
        </is>
      </c>
    </row>
    <row r="13">
      <c r="A13" s="37" t="inlineStr">
        <is>
          <t>Destravar custa 1 ACAO BONUS, nao a Acao (Aprovacao 003): o travamento custa 1 turno, nao 2.</t>
        </is>
      </c>
    </row>
    <row r="14">
      <c r="A14" s="37" t="inlineStr">
        <is>
          <t>NAO EXISTE arma que nunca trava. O melhor caso e a faixa reduzida a 1 natural confirmado, cerca de 0,5%.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4.4"/>
  <cols>
    <col width="14" customWidth="1" min="1" max="1"/>
    <col width="8" customWidth="1" min="2" max="2"/>
    <col width="12" customWidth="1" min="3" max="3"/>
    <col width="16" customWidth="1" min="5" max="5"/>
    <col width="72" customWidth="1" min="6" max="6"/>
  </cols>
  <sheetData>
    <row r="1" ht="16.8" customHeight="1">
      <c r="A1" s="31" t="inlineStr">
        <is>
          <t>Niveis de Ruido - CANON</t>
        </is>
      </c>
    </row>
    <row r="3">
      <c r="A3" s="32" t="inlineStr">
        <is>
          <t>Nivel</t>
        </is>
      </c>
      <c r="B3" s="32" t="inlineStr">
        <is>
          <t>Valor</t>
        </is>
      </c>
      <c r="C3" s="32" t="inlineStr">
        <is>
          <t>Raio (hex)</t>
        </is>
      </c>
      <c r="D3" s="32" t="inlineStr">
        <is>
          <t>Raio (m)</t>
        </is>
      </c>
      <c r="E3" s="32" t="inlineStr">
        <is>
          <t>Pts no Medidor</t>
        </is>
      </c>
      <c r="F3" s="32" t="inlineStr">
        <is>
          <t>Fontes</t>
        </is>
      </c>
    </row>
    <row r="4" ht="26.4" customHeight="1">
      <c r="A4" s="33" t="inlineStr">
        <is>
          <t>Silencioso</t>
        </is>
      </c>
      <c r="B4" s="34" t="n">
        <v>0</v>
      </c>
      <c r="C4" s="34" t="inlineStr">
        <is>
          <t>-</t>
        </is>
      </c>
      <c r="D4" s="34" t="inlineStr">
        <is>
          <t>-</t>
        </is>
      </c>
      <c r="E4" s="34" t="n">
        <v>0</v>
      </c>
      <c r="F4" s="35" t="inlineStr">
        <is>
          <t>Mover com cautela; corpo a corpo cortante ou perfurante nao pesado; arco; besta; dardo</t>
        </is>
      </c>
    </row>
    <row r="5" ht="26.4" customHeight="1">
      <c r="A5" s="33" t="inlineStr">
        <is>
          <t>Baixo</t>
        </is>
      </c>
      <c r="B5" s="34" t="n">
        <v>1</v>
      </c>
      <c r="C5" s="34" t="n">
        <v>4</v>
      </c>
      <c r="D5" s="34" t="n">
        <v>6</v>
      </c>
      <c r="E5" s="34" t="n">
        <v>1</v>
      </c>
      <c r="F5" s="35" t="inlineStr">
        <is>
          <t>Corpo a corpo de concussao OU pesado; acao Correr; arma de fogo com silenciador; pneumatico</t>
        </is>
      </c>
    </row>
    <row r="6" ht="26.4" customHeight="1">
      <c r="A6" s="33" t="inlineStr">
        <is>
          <t>Medio</t>
        </is>
      </c>
      <c r="B6" s="34" t="n">
        <v>2</v>
      </c>
      <c r="C6" s="34" t="n">
        <v>20</v>
      </c>
      <c r="D6" s="34" t="n">
        <v>30</v>
      </c>
      <c r="E6" s="34" t="n">
        <v>3</v>
      </c>
      <c r="F6" s="35" t="inlineStr">
        <is>
          <t>Pistola leve, pistola pesada, SMG, 'Fiador'; corpo a corpo com motor leve (serra 'Denteira')</t>
        </is>
      </c>
    </row>
    <row r="7" ht="26.4" customHeight="1">
      <c r="A7" s="33" t="inlineStr">
        <is>
          <t>Alto</t>
        </is>
      </c>
      <c r="B7" s="34" t="n">
        <v>3</v>
      </c>
      <c r="C7" s="34" t="n">
        <v>50</v>
      </c>
      <c r="D7" s="34" t="n">
        <v>75</v>
      </c>
      <c r="E7" s="34" t="n">
        <v>6</v>
      </c>
      <c r="F7" s="35" t="inlineStr">
        <is>
          <t>Carabina, metralhadora, revolver, rifle, espingarda, explosao; motor pesado (Rebarbadora); pirotecnica (Pistola de Pinos, Granada)</t>
        </is>
      </c>
    </row>
    <row r="9">
      <c r="A9" s="37" t="inlineStr">
        <is>
          <t>PRECEDENCIA CANONICA, para armas que caem em mais de uma categoria:</t>
        </is>
      </c>
    </row>
    <row r="10">
      <c r="A10" s="37" t="inlineStr">
        <is>
          <t xml:space="preserve">   PESADA vence CONCUSSAO, que vence CORTANTE / PERFURANTE / LEVE.</t>
        </is>
      </c>
    </row>
    <row r="11">
      <c r="A11" s="37" t="inlineStr">
        <is>
          <t xml:space="preserve">   Se e Pesada, o Ruido e Baixo, qualquer que seja o tipo de dano. Peso faz mais ruido que impacto,</t>
        </is>
      </c>
    </row>
    <row r="12">
      <c r="A12" s="37" t="inlineStr">
        <is>
          <t xml:space="preserve">   e impacto faz mais ruido que corte. Uma foice de duas maos e Silenciosa; uma marreta e Baixo.</t>
        </is>
      </c>
    </row>
    <row r="14">
      <c r="A14" s="37" t="inlineStr">
        <is>
          <t>CLAUSULA DE MOTOR (Aprovacao 012) - SOBREPOE a precedencia acima, inclusive em corpo a corpo:</t>
        </is>
      </c>
    </row>
    <row r="15">
      <c r="A15" s="37" t="inlineStr">
        <is>
          <t xml:space="preserve">   tensao mecanica = Silencioso  |  pneumatico ou motor leve = Baixo a Medio  |  motor pesado = Alto</t>
        </is>
      </c>
    </row>
    <row r="16">
      <c r="A16" s="37" t="inlineStr">
        <is>
          <t xml:space="preserve">   carga pirotecnica ou explosiva = Alto</t>
        </is>
      </c>
    </row>
    <row r="17">
      <c r="A17" s="37" t="inlineStr">
        <is>
          <t xml:space="preserve">   Foi essa clausula que faltava: a precedencia sozinha so conseguia produzir Silencioso ou Baixo, mas</t>
        </is>
      </c>
    </row>
    <row r="18">
      <c r="A18" s="37" t="inlineStr">
        <is>
          <t xml:space="preserve">   Rebarbadora (Alto) e Denteira (Medio) ja tinham sido aprovadas. Agora a regra gera o que o canon afirma.</t>
        </is>
      </c>
    </row>
    <row r="20">
      <c r="A20" s="37" t="inlineStr">
        <is>
          <t>MEDIDOR DE HORDA: contador de cena, EXCLUSIVO DO MESTRE. Limiar que dispara a leva: [A CALIBRAR].</t>
        </is>
      </c>
    </row>
    <row r="21">
      <c r="A21" s="37" t="inlineStr">
        <is>
          <t>PISO DE EMPILHAMENTO: silenciador + municao subsonica param em BAIXO. Arma de fogo nunca chega a Silencioso.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4.4"/>
  <cols>
    <col width="8" customWidth="1" min="1" max="1"/>
    <col width="14" customWidth="1" min="3" max="3"/>
    <col width="18" customWidth="1" min="6" max="6"/>
    <col width="34" customWidth="1" min="7" max="7"/>
    <col width="15" customWidth="1" min="8" max="8"/>
  </cols>
  <sheetData>
    <row r="1" ht="16.8" customHeight="1">
      <c r="A1" s="31" t="inlineStr">
        <is>
          <t>Progressao de niveis 1 a 20 - esqueleto compartilhado pelas 8 classes</t>
        </is>
      </c>
    </row>
    <row r="3" ht="39.6" customHeight="1">
      <c r="A3" s="32" t="inlineStr">
        <is>
          <t>Nivel</t>
        </is>
      </c>
      <c r="B3" s="32" t="inlineStr">
        <is>
          <t>Prof.</t>
        </is>
      </c>
      <c r="C3" s="32" t="inlineStr">
        <is>
          <t>HP ganho (d6)</t>
        </is>
      </c>
      <c r="D3" s="32" t="inlineStr">
        <is>
          <t>HP ganho (d8)</t>
        </is>
      </c>
      <c r="E3" s="32" t="inlineStr">
        <is>
          <t>HP ganho (d10)</t>
        </is>
      </c>
      <c r="F3" s="32" t="inlineStr">
        <is>
          <t>Limiar de Infeccao</t>
        </is>
      </c>
      <c r="G3" s="32" t="inlineStr">
        <is>
          <t>Ganho de classe</t>
        </is>
      </c>
      <c r="H3" s="32" t="inlineStr">
        <is>
          <t>Especializacao</t>
        </is>
      </c>
    </row>
    <row r="4">
      <c r="A4" s="34" t="n">
        <v>1</v>
      </c>
      <c r="B4" s="34" t="inlineStr">
        <is>
          <t>+2</t>
        </is>
      </c>
      <c r="C4" s="38" t="inlineStr">
        <is>
          <t>max + CON</t>
        </is>
      </c>
      <c r="D4" s="38" t="inlineStr">
        <is>
          <t>max + CON</t>
        </is>
      </c>
      <c r="E4" s="38" t="inlineStr">
        <is>
          <t>max + CON</t>
        </is>
      </c>
      <c r="F4" s="34" t="inlineStr">
        <is>
          <t>base</t>
        </is>
      </c>
      <c r="G4" s="38" t="inlineStr">
        <is>
          <t>Classe, assinatura, proficiencias</t>
        </is>
      </c>
      <c r="H4" s="34" t="inlineStr">
        <is>
          <t>-</t>
        </is>
      </c>
    </row>
    <row r="5">
      <c r="A5" s="34" t="n">
        <v>2</v>
      </c>
      <c r="B5" s="34" t="inlineStr">
        <is>
          <t>+2</t>
        </is>
      </c>
      <c r="C5" s="38" t="inlineStr">
        <is>
          <t>+4 + CON</t>
        </is>
      </c>
      <c r="D5" s="38" t="inlineStr">
        <is>
          <t>+5 + CON</t>
        </is>
      </c>
      <c r="E5" s="38" t="inlineStr">
        <is>
          <t>+6 + CON</t>
        </is>
      </c>
      <c r="F5" s="34" t="inlineStr">
        <is>
          <t>base +0</t>
        </is>
      </c>
      <c r="G5" s="38" t="inlineStr">
        <is>
          <t>Recurso de classe I</t>
        </is>
      </c>
      <c r="H5" s="34" t="inlineStr">
        <is>
          <t>-</t>
        </is>
      </c>
    </row>
    <row r="6">
      <c r="A6" s="34" t="n">
        <v>3</v>
      </c>
      <c r="B6" s="34" t="inlineStr">
        <is>
          <t>+2</t>
        </is>
      </c>
      <c r="C6" s="38" t="inlineStr">
        <is>
          <t>+4 + CON</t>
        </is>
      </c>
      <c r="D6" s="38" t="inlineStr">
        <is>
          <t>+5 + CON</t>
        </is>
      </c>
      <c r="E6" s="38" t="inlineStr">
        <is>
          <t>+6 + CON</t>
        </is>
      </c>
      <c r="F6" s="34" t="inlineStr">
        <is>
          <t>base +0</t>
        </is>
      </c>
      <c r="G6" s="38" t="inlineStr">
        <is>
          <t>-</t>
        </is>
      </c>
      <c r="H6" s="34" t="inlineStr">
        <is>
          <t>SIM</t>
        </is>
      </c>
    </row>
    <row r="7">
      <c r="A7" s="34" t="n">
        <v>4</v>
      </c>
      <c r="B7" s="34" t="inlineStr">
        <is>
          <t>+2</t>
        </is>
      </c>
      <c r="C7" s="38" t="inlineStr">
        <is>
          <t>+4 + CON</t>
        </is>
      </c>
      <c r="D7" s="38" t="inlineStr">
        <is>
          <t>+5 + CON</t>
        </is>
      </c>
      <c r="E7" s="38" t="inlineStr">
        <is>
          <t>+6 + CON</t>
        </is>
      </c>
      <c r="F7" s="34" t="inlineStr">
        <is>
          <t>base +0</t>
        </is>
      </c>
      <c r="G7" s="38" t="inlineStr">
        <is>
          <t>Aumento de atributo</t>
        </is>
      </c>
      <c r="H7" s="34" t="inlineStr">
        <is>
          <t>-</t>
        </is>
      </c>
    </row>
    <row r="8">
      <c r="A8" s="34" t="n">
        <v>5</v>
      </c>
      <c r="B8" s="34" t="inlineStr">
        <is>
          <t>+3</t>
        </is>
      </c>
      <c r="C8" s="38" t="inlineStr">
        <is>
          <t>+4 + CON</t>
        </is>
      </c>
      <c r="D8" s="38" t="inlineStr">
        <is>
          <t>+5 + CON</t>
        </is>
      </c>
      <c r="E8" s="38" t="inlineStr">
        <is>
          <t>+6 + CON</t>
        </is>
      </c>
      <c r="F8" s="34" t="inlineStr">
        <is>
          <t>base +1</t>
        </is>
      </c>
      <c r="G8" s="38" t="inlineStr">
        <is>
          <t>-</t>
        </is>
      </c>
      <c r="H8" s="34" t="inlineStr">
        <is>
          <t>SIM</t>
        </is>
      </c>
    </row>
    <row r="9">
      <c r="A9" s="34" t="n">
        <v>6</v>
      </c>
      <c r="B9" s="34" t="inlineStr">
        <is>
          <t>+3</t>
        </is>
      </c>
      <c r="C9" s="38" t="inlineStr">
        <is>
          <t>+4 + CON</t>
        </is>
      </c>
      <c r="D9" s="38" t="inlineStr">
        <is>
          <t>+5 + CON</t>
        </is>
      </c>
      <c r="E9" s="38" t="inlineStr">
        <is>
          <t>+6 + CON</t>
        </is>
      </c>
      <c r="F9" s="34" t="inlineStr">
        <is>
          <t>base +1</t>
        </is>
      </c>
      <c r="G9" s="38" t="inlineStr">
        <is>
          <t>Recurso de classe II</t>
        </is>
      </c>
      <c r="H9" s="34" t="inlineStr">
        <is>
          <t>-</t>
        </is>
      </c>
    </row>
    <row r="10">
      <c r="A10" s="34" t="n">
        <v>7</v>
      </c>
      <c r="B10" s="34" t="inlineStr">
        <is>
          <t>+3</t>
        </is>
      </c>
      <c r="C10" s="38" t="inlineStr">
        <is>
          <t>+4 + CON</t>
        </is>
      </c>
      <c r="D10" s="38" t="inlineStr">
        <is>
          <t>+5 + CON</t>
        </is>
      </c>
      <c r="E10" s="38" t="inlineStr">
        <is>
          <t>+6 + CON</t>
        </is>
      </c>
      <c r="F10" s="34" t="inlineStr">
        <is>
          <t>base +1</t>
        </is>
      </c>
      <c r="G10" s="38" t="inlineStr">
        <is>
          <t>-</t>
        </is>
      </c>
      <c r="H10" s="34" t="inlineStr">
        <is>
          <t>SIM</t>
        </is>
      </c>
    </row>
    <row r="11">
      <c r="A11" s="34" t="n">
        <v>8</v>
      </c>
      <c r="B11" s="34" t="inlineStr">
        <is>
          <t>+3</t>
        </is>
      </c>
      <c r="C11" s="38" t="inlineStr">
        <is>
          <t>+4 + CON</t>
        </is>
      </c>
      <c r="D11" s="38" t="inlineStr">
        <is>
          <t>+5 + CON</t>
        </is>
      </c>
      <c r="E11" s="38" t="inlineStr">
        <is>
          <t>+6 + CON</t>
        </is>
      </c>
      <c r="F11" s="34" t="inlineStr">
        <is>
          <t>base +1</t>
        </is>
      </c>
      <c r="G11" s="38" t="inlineStr">
        <is>
          <t>Aumento de atributo</t>
        </is>
      </c>
      <c r="H11" s="34" t="inlineStr">
        <is>
          <t>-</t>
        </is>
      </c>
    </row>
    <row r="12">
      <c r="A12" s="34" t="n">
        <v>9</v>
      </c>
      <c r="B12" s="34" t="inlineStr">
        <is>
          <t>+4</t>
        </is>
      </c>
      <c r="C12" s="38" t="inlineStr">
        <is>
          <t>+4 + CON</t>
        </is>
      </c>
      <c r="D12" s="38" t="inlineStr">
        <is>
          <t>+5 + CON</t>
        </is>
      </c>
      <c r="E12" s="38" t="inlineStr">
        <is>
          <t>+6 + CON</t>
        </is>
      </c>
      <c r="F12" s="34" t="inlineStr">
        <is>
          <t>base +2</t>
        </is>
      </c>
      <c r="G12" s="38" t="inlineStr">
        <is>
          <t>-</t>
        </is>
      </c>
      <c r="H12" s="34" t="inlineStr">
        <is>
          <t>SIM</t>
        </is>
      </c>
    </row>
    <row r="13">
      <c r="A13" s="34" t="n">
        <v>10</v>
      </c>
      <c r="B13" s="34" t="inlineStr">
        <is>
          <t>+4</t>
        </is>
      </c>
      <c r="C13" s="38" t="inlineStr">
        <is>
          <t>+4 + CON</t>
        </is>
      </c>
      <c r="D13" s="38" t="inlineStr">
        <is>
          <t>+5 + CON</t>
        </is>
      </c>
      <c r="E13" s="38" t="inlineStr">
        <is>
          <t>+6 + CON</t>
        </is>
      </c>
      <c r="F13" s="34" t="inlineStr">
        <is>
          <t>base +2</t>
        </is>
      </c>
      <c r="G13" s="38" t="inlineStr">
        <is>
          <t>Recurso de classe III</t>
        </is>
      </c>
      <c r="H13" s="34" t="inlineStr">
        <is>
          <t>-</t>
        </is>
      </c>
    </row>
    <row r="14">
      <c r="A14" s="34" t="n">
        <v>11</v>
      </c>
      <c r="B14" s="34" t="inlineStr">
        <is>
          <t>+4</t>
        </is>
      </c>
      <c r="C14" s="38" t="inlineStr">
        <is>
          <t>+4 + CON</t>
        </is>
      </c>
      <c r="D14" s="38" t="inlineStr">
        <is>
          <t>+5 + CON</t>
        </is>
      </c>
      <c r="E14" s="38" t="inlineStr">
        <is>
          <t>+6 + CON</t>
        </is>
      </c>
      <c r="F14" s="34" t="inlineStr">
        <is>
          <t>base +2</t>
        </is>
      </c>
      <c r="G14" s="38" t="inlineStr">
        <is>
          <t>-</t>
        </is>
      </c>
      <c r="H14" s="34" t="inlineStr">
        <is>
          <t>SIM</t>
        </is>
      </c>
    </row>
    <row r="15">
      <c r="A15" s="34" t="n">
        <v>12</v>
      </c>
      <c r="B15" s="34" t="inlineStr">
        <is>
          <t>+4</t>
        </is>
      </c>
      <c r="C15" s="38" t="inlineStr">
        <is>
          <t>+4 + CON</t>
        </is>
      </c>
      <c r="D15" s="38" t="inlineStr">
        <is>
          <t>+5 + CON</t>
        </is>
      </c>
      <c r="E15" s="38" t="inlineStr">
        <is>
          <t>+6 + CON</t>
        </is>
      </c>
      <c r="F15" s="34" t="inlineStr">
        <is>
          <t>base +2</t>
        </is>
      </c>
      <c r="G15" s="38" t="inlineStr">
        <is>
          <t>Aumento de atributo</t>
        </is>
      </c>
      <c r="H15" s="34" t="inlineStr">
        <is>
          <t>-</t>
        </is>
      </c>
    </row>
    <row r="16">
      <c r="A16" s="34" t="n">
        <v>13</v>
      </c>
      <c r="B16" s="34" t="inlineStr">
        <is>
          <t>+5</t>
        </is>
      </c>
      <c r="C16" s="38" t="inlineStr">
        <is>
          <t>+4 + CON</t>
        </is>
      </c>
      <c r="D16" s="38" t="inlineStr">
        <is>
          <t>+5 + CON</t>
        </is>
      </c>
      <c r="E16" s="38" t="inlineStr">
        <is>
          <t>+6 + CON</t>
        </is>
      </c>
      <c r="F16" s="34" t="inlineStr">
        <is>
          <t>base +3</t>
        </is>
      </c>
      <c r="G16" s="38" t="inlineStr">
        <is>
          <t>-</t>
        </is>
      </c>
      <c r="H16" s="34" t="inlineStr">
        <is>
          <t>SIM</t>
        </is>
      </c>
    </row>
    <row r="17">
      <c r="A17" s="34" t="n">
        <v>14</v>
      </c>
      <c r="B17" s="34" t="inlineStr">
        <is>
          <t>+5</t>
        </is>
      </c>
      <c r="C17" s="38" t="inlineStr">
        <is>
          <t>+4 + CON</t>
        </is>
      </c>
      <c r="D17" s="38" t="inlineStr">
        <is>
          <t>+5 + CON</t>
        </is>
      </c>
      <c r="E17" s="38" t="inlineStr">
        <is>
          <t>+6 + CON</t>
        </is>
      </c>
      <c r="F17" s="34" t="inlineStr">
        <is>
          <t>base +3</t>
        </is>
      </c>
      <c r="G17" s="38" t="inlineStr">
        <is>
          <t>Recurso de classe IV</t>
        </is>
      </c>
      <c r="H17" s="34" t="inlineStr">
        <is>
          <t>-</t>
        </is>
      </c>
    </row>
    <row r="18">
      <c r="A18" s="34" t="n">
        <v>15</v>
      </c>
      <c r="B18" s="34" t="inlineStr">
        <is>
          <t>+5</t>
        </is>
      </c>
      <c r="C18" s="38" t="inlineStr">
        <is>
          <t>+4 + CON</t>
        </is>
      </c>
      <c r="D18" s="38" t="inlineStr">
        <is>
          <t>+5 + CON</t>
        </is>
      </c>
      <c r="E18" s="38" t="inlineStr">
        <is>
          <t>+6 + CON</t>
        </is>
      </c>
      <c r="F18" s="34" t="inlineStr">
        <is>
          <t>base +3</t>
        </is>
      </c>
      <c r="G18" s="38" t="inlineStr">
        <is>
          <t>-</t>
        </is>
      </c>
      <c r="H18" s="34" t="inlineStr">
        <is>
          <t>SIM</t>
        </is>
      </c>
    </row>
    <row r="19">
      <c r="A19" s="34" t="n">
        <v>16</v>
      </c>
      <c r="B19" s="34" t="inlineStr">
        <is>
          <t>+5</t>
        </is>
      </c>
      <c r="C19" s="38" t="inlineStr">
        <is>
          <t>+4 + CON</t>
        </is>
      </c>
      <c r="D19" s="38" t="inlineStr">
        <is>
          <t>+5 + CON</t>
        </is>
      </c>
      <c r="E19" s="38" t="inlineStr">
        <is>
          <t>+6 + CON</t>
        </is>
      </c>
      <c r="F19" s="34" t="inlineStr">
        <is>
          <t>base +3</t>
        </is>
      </c>
      <c r="G19" s="38" t="inlineStr">
        <is>
          <t>Aumento de atributo</t>
        </is>
      </c>
      <c r="H19" s="34" t="inlineStr">
        <is>
          <t>-</t>
        </is>
      </c>
    </row>
    <row r="20">
      <c r="A20" s="34" t="n">
        <v>17</v>
      </c>
      <c r="B20" s="34" t="inlineStr">
        <is>
          <t>+6</t>
        </is>
      </c>
      <c r="C20" s="38" t="inlineStr">
        <is>
          <t>+4 + CON</t>
        </is>
      </c>
      <c r="D20" s="38" t="inlineStr">
        <is>
          <t>+5 + CON</t>
        </is>
      </c>
      <c r="E20" s="38" t="inlineStr">
        <is>
          <t>+6 + CON</t>
        </is>
      </c>
      <c r="F20" s="34" t="inlineStr">
        <is>
          <t>base +4</t>
        </is>
      </c>
      <c r="G20" s="38" t="inlineStr">
        <is>
          <t>-</t>
        </is>
      </c>
      <c r="H20" s="34" t="inlineStr">
        <is>
          <t>SIM</t>
        </is>
      </c>
    </row>
    <row r="21">
      <c r="A21" s="34" t="n">
        <v>18</v>
      </c>
      <c r="B21" s="34" t="inlineStr">
        <is>
          <t>+6</t>
        </is>
      </c>
      <c r="C21" s="38" t="inlineStr">
        <is>
          <t>+4 + CON</t>
        </is>
      </c>
      <c r="D21" s="38" t="inlineStr">
        <is>
          <t>+5 + CON</t>
        </is>
      </c>
      <c r="E21" s="38" t="inlineStr">
        <is>
          <t>+6 + CON</t>
        </is>
      </c>
      <c r="F21" s="34" t="inlineStr">
        <is>
          <t>base +4</t>
        </is>
      </c>
      <c r="G21" s="38" t="inlineStr">
        <is>
          <t>Recurso de classe V</t>
        </is>
      </c>
      <c r="H21" s="34" t="inlineStr">
        <is>
          <t>-</t>
        </is>
      </c>
    </row>
    <row r="22">
      <c r="A22" s="34" t="n">
        <v>19</v>
      </c>
      <c r="B22" s="34" t="inlineStr">
        <is>
          <t>+6</t>
        </is>
      </c>
      <c r="C22" s="38" t="inlineStr">
        <is>
          <t>+4 + CON</t>
        </is>
      </c>
      <c r="D22" s="38" t="inlineStr">
        <is>
          <t>+5 + CON</t>
        </is>
      </c>
      <c r="E22" s="38" t="inlineStr">
        <is>
          <t>+6 + CON</t>
        </is>
      </c>
      <c r="F22" s="34" t="inlineStr">
        <is>
          <t>base +4</t>
        </is>
      </c>
      <c r="G22" s="38" t="inlineStr">
        <is>
          <t>Aumento de atributo</t>
        </is>
      </c>
      <c r="H22" s="34" t="inlineStr">
        <is>
          <t>-</t>
        </is>
      </c>
    </row>
    <row r="23">
      <c r="A23" s="40" t="n">
        <v>20</v>
      </c>
      <c r="B23" s="40" t="inlineStr">
        <is>
          <t>+6</t>
        </is>
      </c>
      <c r="C23" s="41" t="inlineStr">
        <is>
          <t>+4 + CON</t>
        </is>
      </c>
      <c r="D23" s="41" t="inlineStr">
        <is>
          <t>+5 + CON</t>
        </is>
      </c>
      <c r="E23" s="41" t="inlineStr">
        <is>
          <t>+6 + CON</t>
        </is>
      </c>
      <c r="F23" s="40" t="inlineStr">
        <is>
          <t>base +4</t>
        </is>
      </c>
      <c r="G23" s="41" t="inlineStr">
        <is>
          <t>APICE</t>
        </is>
      </c>
      <c r="H23" s="40" t="inlineStr">
        <is>
          <t>-</t>
        </is>
      </c>
    </row>
    <row r="25">
      <c r="A25" s="37" t="inlineStr">
        <is>
          <t>Ao fim da carreira: 8 Especializacoes, 5 Aumentos de atributo, 5 Recursos de classe, 1 Apice.</t>
        </is>
      </c>
    </row>
    <row r="26">
      <c r="A26" s="37" t="inlineStr">
        <is>
          <t>HP por nivel = MEDIA do dado + mod CON, FIXO e nao rolado (menos contabilidade, e permite simulacao).</t>
        </is>
      </c>
    </row>
    <row r="27">
      <c r="A27" s="37" t="inlineStr">
        <is>
          <t xml:space="preserve">   Com CON +3 o nivel 20 da 142 HP (d6), 163 (d8) e 184 (d10).</t>
        </is>
      </c>
    </row>
    <row r="28">
      <c r="A28" s="37" t="inlineStr">
        <is>
          <t>O limiar de Infeccao sobe +1 nos niveis 5, 9, 13 e 17, totalizando +4 sobre a base de cada classe.</t>
        </is>
      </c>
    </row>
    <row r="29">
      <c r="A29" s="37" t="inlineStr">
        <is>
          <t xml:space="preserve">   Cresce POUCO de proposito: a Trilha NAO e vitalicia. Ela mede a carga infecciosa ATUAL, e descanso</t>
        </is>
      </c>
    </row>
    <row r="30">
      <c r="A30" s="37" t="inlineStr">
        <is>
          <t xml:space="preserve">   longo em Refugio com enfermaria remove pontos [A CALIBRAR]. Sem isso, como a Trilha conta ACERTO</t>
        </is>
      </c>
    </row>
    <row r="31">
      <c r="A31" s="37" t="inlineStr">
        <is>
          <t xml:space="preserve">   e nao dano, qualquer personagem mutaria antes do nivel 10.</t>
        </is>
      </c>
    </row>
    <row r="32">
      <c r="A32" s="37" t="inlineStr">
        <is>
          <t>Cada Especializacao exige FONTE DIEGETICA: mentor NPC, manual saqueado, ou pratica validada pelo Mestre.</t>
        </is>
      </c>
    </row>
    <row r="33">
      <c r="A33" s="37" t="inlineStr">
        <is>
          <t>O dado de vida NUNCA muda, qualquer que seja a especializacao adquirida.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4.4"/>
  <cols>
    <col width="18" customWidth="1" min="1" max="1"/>
    <col width="30" customWidth="1" min="2" max="2"/>
    <col width="8" customWidth="1" min="3" max="3"/>
    <col width="94" customWidth="1" min="4" max="4"/>
  </cols>
  <sheetData>
    <row r="1" ht="16.8" customHeight="1">
      <c r="A1" s="31" t="inlineStr">
        <is>
          <t>Os 48 recursos de classe - niveis 2, 6, 10, 14, 18 e o Apice no 20</t>
        </is>
      </c>
    </row>
    <row r="3">
      <c r="A3" s="32" t="inlineStr">
        <is>
          <t>Classe</t>
        </is>
      </c>
      <c r="B3" s="32" t="inlineStr">
        <is>
          <t>Linha da classe</t>
        </is>
      </c>
      <c r="C3" s="32" t="inlineStr">
        <is>
          <t>Nivel</t>
        </is>
      </c>
      <c r="D3" s="32" t="inlineStr">
        <is>
          <t>Recurso</t>
        </is>
      </c>
    </row>
    <row r="4">
      <c r="A4" s="42" t="inlineStr">
        <is>
          <t>PUGILISTA</t>
        </is>
      </c>
      <c r="B4" s="43" t="inlineStr">
        <is>
          <t>o corpo como arma</t>
        </is>
      </c>
    </row>
    <row r="5">
      <c r="A5" s="38" t="inlineStr">
        <is>
          <t>Pugilista</t>
        </is>
      </c>
      <c r="B5" s="44" t="inlineStr">
        <is>
          <t>o corpo como arma</t>
        </is>
      </c>
      <c r="C5" s="34" t="n">
        <v>2</v>
      </c>
      <c r="D5" s="35" t="inlineStr">
        <is>
          <t>Punho Endurecido - o punho passa a 1d8</t>
        </is>
      </c>
    </row>
    <row r="6">
      <c r="A6" s="38" t="inlineStr">
        <is>
          <t>Pugilista</t>
        </is>
      </c>
      <c r="B6" s="44" t="inlineStr">
        <is>
          <t>o corpo como arma</t>
        </is>
      </c>
      <c r="C6" s="34" t="n">
        <v>6</v>
      </c>
      <c r="D6" s="35" t="inlineStr">
        <is>
          <t>Agarrao - ao acertar, pode Agarrar sem gastar acao extra</t>
        </is>
      </c>
    </row>
    <row r="7">
      <c r="A7" s="38" t="inlineStr">
        <is>
          <t>Pugilista</t>
        </is>
      </c>
      <c r="B7" s="44" t="inlineStr">
        <is>
          <t>o corpo como arma</t>
        </is>
      </c>
      <c r="C7" s="34" t="n">
        <v>10</v>
      </c>
      <c r="D7" s="35" t="inlineStr">
        <is>
          <t>Punho Endurecido II - 1d10; e o punho ignora meia cobertura</t>
        </is>
      </c>
    </row>
    <row r="8">
      <c r="A8" s="38" t="inlineStr">
        <is>
          <t>Pugilista</t>
        </is>
      </c>
      <c r="B8" s="44" t="inlineStr">
        <is>
          <t>o corpo como arma</t>
        </is>
      </c>
      <c r="C8" s="34" t="n">
        <v>14</v>
      </c>
      <c r="D8" s="35" t="inlineStr">
        <is>
          <t>Couro Grosso - cada golpe necrotico recebido gera 1 ponto de Infeccao a menos (minimo 0)</t>
        </is>
      </c>
    </row>
    <row r="9">
      <c r="A9" s="38" t="inlineStr">
        <is>
          <t>Pugilista</t>
        </is>
      </c>
      <c r="B9" s="44" t="inlineStr">
        <is>
          <t>o corpo como arma</t>
        </is>
      </c>
      <c r="C9" s="34" t="n">
        <v>18</v>
      </c>
      <c r="D9" s="35" t="inlineStr">
        <is>
          <t>Punho Endurecido III - 1d12</t>
        </is>
      </c>
    </row>
    <row r="10" ht="26.4" customHeight="1">
      <c r="A10" s="41" t="inlineStr">
        <is>
          <t>Pugilista</t>
        </is>
      </c>
      <c r="B10" s="45" t="inlineStr">
        <is>
          <t>o corpo como arma</t>
        </is>
      </c>
      <c r="C10" s="46" t="n">
        <v>20</v>
      </c>
      <c r="D10" s="47" t="inlineStr">
        <is>
          <t>APICE Nunca Desarmado - o punho conta como tier Prototipo; ataca duas vezes com a Acao, a segunda sem modificador de dano</t>
        </is>
      </c>
    </row>
    <row r="11">
      <c r="A11" s="42" t="inlineStr">
        <is>
          <t>CONSTRUTOR</t>
        </is>
      </c>
      <c r="B11" s="43" t="inlineStr">
        <is>
          <t>lixo vira equipamento</t>
        </is>
      </c>
    </row>
    <row r="12">
      <c r="A12" s="38" t="inlineStr">
        <is>
          <t>Construtor</t>
        </is>
      </c>
      <c r="B12" s="44" t="inlineStr">
        <is>
          <t>lixo vira equipamento</t>
        </is>
      </c>
      <c r="C12" s="34" t="n">
        <v>2</v>
      </c>
      <c r="D12" s="35" t="inlineStr">
        <is>
          <t>Improviso Rapido - fabrica uma arma Improvisada num descanso curto, sem custo</t>
        </is>
      </c>
    </row>
    <row r="13">
      <c r="A13" s="38" t="inlineStr">
        <is>
          <t>Construtor</t>
        </is>
      </c>
      <c r="B13" s="44" t="inlineStr">
        <is>
          <t>lixo vira equipamento</t>
        </is>
      </c>
      <c r="C13" s="34" t="n">
        <v>6</v>
      </c>
      <c r="D13" s="35" t="inlineStr">
        <is>
          <t>Mao Calejada II - armas Improvisadas perdem a propriedade Fragil nas suas maos</t>
        </is>
      </c>
    </row>
    <row r="14">
      <c r="A14" s="38" t="inlineStr">
        <is>
          <t>Construtor</t>
        </is>
      </c>
      <c r="B14" s="44" t="inlineStr">
        <is>
          <t>lixo vira equipamento</t>
        </is>
      </c>
      <c r="C14" s="34" t="n">
        <v>10</v>
      </c>
      <c r="D14" s="35" t="inlineStr">
        <is>
          <t>Erguer Depressa - melhoria estrutural do Refugio custa metade do material</t>
        </is>
      </c>
    </row>
    <row r="15">
      <c r="A15" s="38" t="inlineStr">
        <is>
          <t>Construtor</t>
        </is>
      </c>
      <c r="B15" s="44" t="inlineStr">
        <is>
          <t>lixo vira equipamento</t>
        </is>
      </c>
      <c r="C15" s="34" t="n">
        <v>14</v>
      </c>
      <c r="D15" s="35" t="inlineStr">
        <is>
          <t>Ponto Fraco - contra estrutura ou objeto, dano dobrado</t>
        </is>
      </c>
    </row>
    <row r="16">
      <c r="A16" s="38" t="inlineStr">
        <is>
          <t>Construtor</t>
        </is>
      </c>
      <c r="B16" s="44" t="inlineStr">
        <is>
          <t>lixo vira equipamento</t>
        </is>
      </c>
      <c r="C16" s="34" t="n">
        <v>18</v>
      </c>
      <c r="D16" s="35" t="inlineStr">
        <is>
          <t>Arsenal de Sucata - suas armas Improvisadas sobem um degrau na escada de dados</t>
        </is>
      </c>
    </row>
    <row r="17" ht="26.4" customHeight="1">
      <c r="A17" s="41" t="inlineStr">
        <is>
          <t>Construtor</t>
        </is>
      </c>
      <c r="B17" s="45" t="inlineStr">
        <is>
          <t>lixo vira equipamento</t>
        </is>
      </c>
      <c r="C17" s="46" t="n">
        <v>20</v>
      </c>
      <c r="D17" s="47" t="inlineStr">
        <is>
          <t>APICE O Refugio e Meu - fortificacao alem do material; e o Medidor sobe 1 ponto a menos por rodada com o grupo dentro</t>
        </is>
      </c>
    </row>
    <row r="18">
      <c r="A18" s="42" t="inlineStr">
        <is>
          <t>MEDICO</t>
        </is>
      </c>
      <c r="B18" s="43" t="inlineStr">
        <is>
          <t>manter o grupo de pe</t>
        </is>
      </c>
    </row>
    <row r="19">
      <c r="A19" s="38" t="inlineStr">
        <is>
          <t>Medico</t>
        </is>
      </c>
      <c r="B19" s="44" t="inlineStr">
        <is>
          <t>manter o grupo de pe</t>
        </is>
      </c>
      <c r="C19" s="34" t="n">
        <v>2</v>
      </c>
      <c r="D19" s="35" t="inlineStr">
        <is>
          <t>Maos Firmes - estabilizar aliado em Estado Critico nao exige teste</t>
        </is>
      </c>
    </row>
    <row r="20">
      <c r="A20" s="38" t="inlineStr">
        <is>
          <t>Medico</t>
        </is>
      </c>
      <c r="B20" s="44" t="inlineStr">
        <is>
          <t>manter o grupo de pe</t>
        </is>
      </c>
      <c r="C20" s="34" t="n">
        <v>6</v>
      </c>
      <c r="D20" s="35" t="inlineStr">
        <is>
          <t>Estabilizar II - remove mais pontos, e pode ser usado como Reacao</t>
        </is>
      </c>
    </row>
    <row r="21">
      <c r="A21" s="38" t="inlineStr">
        <is>
          <t>Medico</t>
        </is>
      </c>
      <c r="B21" s="44" t="inlineStr">
        <is>
          <t>manter o grupo de pe</t>
        </is>
      </c>
      <c r="C21" s="34" t="n">
        <v>10</v>
      </c>
      <c r="D21" s="35" t="inlineStr">
        <is>
          <t>Diagnostico - ve a Trilha de Infeccao de qualquer aliado; o Mestre deve informar a banda</t>
        </is>
      </c>
    </row>
    <row r="22">
      <c r="A22" s="38" t="inlineStr">
        <is>
          <t>Medico</t>
        </is>
      </c>
      <c r="B22" s="44" t="inlineStr">
        <is>
          <t>manter o grupo de pe</t>
        </is>
      </c>
      <c r="C22" s="34" t="n">
        <v>14</v>
      </c>
      <c r="D22" s="35" t="inlineStr">
        <is>
          <t>Soro de Campo - fabrica um soro anti-Infeccao por descanso longo</t>
        </is>
      </c>
    </row>
    <row r="23">
      <c r="A23" s="38" t="inlineStr">
        <is>
          <t>Medico</t>
        </is>
      </c>
      <c r="B23" s="44" t="inlineStr">
        <is>
          <t>manter o grupo de pe</t>
        </is>
      </c>
      <c r="C23" s="34" t="n">
        <v>18</v>
      </c>
      <c r="D23" s="35" t="inlineStr">
        <is>
          <t>Estabilizar III - alcance 3 hex e afeta dois aliados</t>
        </is>
      </c>
    </row>
    <row r="24">
      <c r="A24" s="41" t="inlineStr">
        <is>
          <t>Medico</t>
        </is>
      </c>
      <c r="B24" s="45" t="inlineStr">
        <is>
          <t>manter o grupo de pe</t>
        </is>
      </c>
      <c r="C24" s="46" t="n">
        <v>20</v>
      </c>
      <c r="D24" s="47" t="inlineStr">
        <is>
          <t>APICE Reverter - uma vez por campanha, reverte uma mutacao ja consumada</t>
        </is>
      </c>
    </row>
    <row r="25">
      <c r="A25" s="42" t="inlineStr">
        <is>
          <t>PILOTO</t>
        </is>
      </c>
      <c r="B25" s="43" t="inlineStr">
        <is>
          <t>mobilidade e maquina</t>
        </is>
      </c>
    </row>
    <row r="26">
      <c r="A26" s="38" t="inlineStr">
        <is>
          <t>Piloto</t>
        </is>
      </c>
      <c r="B26" s="44" t="inlineStr">
        <is>
          <t>mobilidade e maquina</t>
        </is>
      </c>
      <c r="C26" s="34" t="n">
        <v>2</v>
      </c>
      <c r="D26" s="35" t="inlineStr">
        <is>
          <t>Reparo Rapido - reparo sob pressao custa metade do tempo</t>
        </is>
      </c>
    </row>
    <row r="27">
      <c r="A27" s="38" t="inlineStr">
        <is>
          <t>Piloto</t>
        </is>
      </c>
      <c r="B27" s="44" t="inlineStr">
        <is>
          <t>mobilidade e maquina</t>
        </is>
      </c>
      <c r="C27" s="34" t="n">
        <v>6</v>
      </c>
      <c r="D27" s="35" t="inlineStr">
        <is>
          <t>Modificacao Veicular II - segundo slot veicular</t>
        </is>
      </c>
    </row>
    <row r="28">
      <c r="A28" s="38" t="inlineStr">
        <is>
          <t>Piloto</t>
        </is>
      </c>
      <c r="B28" s="44" t="inlineStr">
        <is>
          <t>mobilidade e maquina</t>
        </is>
      </c>
      <c r="C28" s="34" t="n">
        <v>10</v>
      </c>
      <c r="D28" s="35" t="inlineStr">
        <is>
          <t>Motorista de Fuga - o grupo inteiro embarca num veiculo com uma unica Acao</t>
        </is>
      </c>
    </row>
    <row r="29">
      <c r="A29" s="38" t="inlineStr">
        <is>
          <t>Piloto</t>
        </is>
      </c>
      <c r="B29" s="44" t="inlineStr">
        <is>
          <t>mobilidade e maquina</t>
        </is>
      </c>
      <c r="C29" s="34" t="n">
        <v>14</v>
      </c>
      <c r="D29" s="35" t="inlineStr">
        <is>
          <t>Conhece a Maquina - Vantagem contra alvos mecanicos e com cibernetica</t>
        </is>
      </c>
    </row>
    <row r="30">
      <c r="A30" s="38" t="inlineStr">
        <is>
          <t>Piloto</t>
        </is>
      </c>
      <c r="B30" s="44" t="inlineStr">
        <is>
          <t>mobilidade e maquina</t>
        </is>
      </c>
      <c r="C30" s="34" t="n">
        <v>18</v>
      </c>
      <c r="D30" s="35" t="inlineStr">
        <is>
          <t>Modificacao Veicular III - terceiro slot; o veiculo ganha resistencia</t>
        </is>
      </c>
    </row>
    <row r="31" ht="26.4" customHeight="1">
      <c r="A31" s="41" t="inlineStr">
        <is>
          <t>Piloto</t>
        </is>
      </c>
      <c r="B31" s="45" t="inlineStr">
        <is>
          <t>mobilidade e maquina</t>
        </is>
      </c>
      <c r="C31" s="46" t="n">
        <v>20</v>
      </c>
      <c r="D31" s="47" t="inlineStr">
        <is>
          <t>APICE Ariete Rodante - o veiculo atravessa hexagonos ocupados causando dano; e o Medidor ZERA quando o grupo sai da cena em veiculo</t>
        </is>
      </c>
    </row>
    <row r="32">
      <c r="A32" s="42" t="inlineStr">
        <is>
          <t>EXPLORADOR</t>
        </is>
      </c>
      <c r="B32" s="43" t="inlineStr">
        <is>
          <t>nao ser acertado, e ver primeiro</t>
        </is>
      </c>
    </row>
    <row r="33">
      <c r="A33" s="38" t="inlineStr">
        <is>
          <t>Explorador</t>
        </is>
      </c>
      <c r="B33" s="44" t="inlineStr">
        <is>
          <t>nao ser acertado, e ver primeiro</t>
        </is>
      </c>
      <c r="C33" s="34" t="n">
        <v>2</v>
      </c>
      <c r="D33" s="35" t="inlineStr">
        <is>
          <t>Passo Leve - mover-se nao gera Ruido nenhum, nem com a Acao Correr</t>
        </is>
      </c>
    </row>
    <row r="34">
      <c r="A34" s="38" t="inlineStr">
        <is>
          <t>Explorador</t>
        </is>
      </c>
      <c r="B34" s="44" t="inlineStr">
        <is>
          <t>nao ser acertado, e ver primeiro</t>
        </is>
      </c>
      <c r="C34" s="34" t="n">
        <v>6</v>
      </c>
      <c r="D34" s="35" t="inlineStr">
        <is>
          <t>Esquiva Reflexa II - impoe Desvantagem a TODOS os ataques contra voce ate o fim da rodada</t>
        </is>
      </c>
    </row>
    <row r="35">
      <c r="A35" s="38" t="inlineStr">
        <is>
          <t>Explorador</t>
        </is>
      </c>
      <c r="B35" s="44" t="inlineStr">
        <is>
          <t>nao ser acertado, e ver primeiro</t>
        </is>
      </c>
      <c r="C35" s="34" t="n">
        <v>10</v>
      </c>
      <c r="D35" s="35" t="inlineStr">
        <is>
          <t>Olho Adiantado - age sempre primeiro na iniciativa; emboscada nao o afeta</t>
        </is>
      </c>
    </row>
    <row r="36">
      <c r="A36" s="38" t="inlineStr">
        <is>
          <t>Explorador</t>
        </is>
      </c>
      <c r="B36" s="44" t="inlineStr">
        <is>
          <t>nao ser acertado, e ver primeiro</t>
        </is>
      </c>
      <c r="C36" s="34" t="n">
        <v>14</v>
      </c>
      <c r="D36" s="35" t="inlineStr">
        <is>
          <t>Some - pode se Esconder mesmo observado, 1x por combate</t>
        </is>
      </c>
    </row>
    <row r="37">
      <c r="A37" s="38" t="inlineStr">
        <is>
          <t>Explorador</t>
        </is>
      </c>
      <c r="B37" s="44" t="inlineStr">
        <is>
          <t>nao ser acertado, e ver primeiro</t>
        </is>
      </c>
      <c r="C37" s="34" t="n">
        <v>18</v>
      </c>
      <c r="D37" s="35" t="inlineStr">
        <is>
          <t>Intocavel - quando um ataque erra voce, move 1 hex de graca</t>
        </is>
      </c>
    </row>
    <row r="38" ht="26.4" customHeight="1">
      <c r="A38" s="41" t="inlineStr">
        <is>
          <t>Explorador</t>
        </is>
      </c>
      <c r="B38" s="45" t="inlineStr">
        <is>
          <t>nao ser acertado, e ver primeiro</t>
        </is>
      </c>
      <c r="C38" s="46" t="n">
        <v>20</v>
      </c>
      <c r="D38" s="47" t="inlineStr">
        <is>
          <t>APICE Ninguem Me Ve - nao pode ser alvo a distancia acima de 4 hex de qualquer inimigo; e nao alimenta o Medidor de forma alguma</t>
        </is>
      </c>
    </row>
    <row r="39">
      <c r="A39" s="42" t="inlineStr">
        <is>
          <t>CEIFADOR</t>
        </is>
      </c>
      <c r="B39" s="43" t="inlineStr">
        <is>
          <t>matar em silencio</t>
        </is>
      </c>
    </row>
    <row r="40">
      <c r="A40" s="38" t="inlineStr">
        <is>
          <t>Ceifador</t>
        </is>
      </c>
      <c r="B40" s="44" t="inlineStr">
        <is>
          <t>matar em silencio</t>
        </is>
      </c>
      <c r="C40" s="34" t="n">
        <v>2</v>
      </c>
      <c r="D40" s="35" t="inlineStr">
        <is>
          <t>Golpe Limpo - mutante abatido por arma Cortante NAO gera pontos de Infeccao</t>
        </is>
      </c>
    </row>
    <row r="41">
      <c r="A41" s="38" t="inlineStr">
        <is>
          <t>Ceifador</t>
        </is>
      </c>
      <c r="B41" s="44" t="inlineStr">
        <is>
          <t>matar em silencio</t>
        </is>
      </c>
      <c r="C41" s="34" t="n">
        <v>6</v>
      </c>
      <c r="D41" s="35" t="inlineStr">
        <is>
          <t>Corte Continuo II - duas vezes por turno</t>
        </is>
      </c>
    </row>
    <row r="42">
      <c r="A42" s="38" t="inlineStr">
        <is>
          <t>Ceifador</t>
        </is>
      </c>
      <c r="B42" s="44" t="inlineStr">
        <is>
          <t>matar em silencio</t>
        </is>
      </c>
      <c r="C42" s="34" t="n">
        <v>10</v>
      </c>
      <c r="D42" s="35" t="inlineStr">
        <is>
          <t>Lamina Afiada - armas Cortantes suas ignoram 2 pontos de resistencia</t>
        </is>
      </c>
    </row>
    <row r="43">
      <c r="A43" s="38" t="inlineStr">
        <is>
          <t>Ceifador</t>
        </is>
      </c>
      <c r="B43" s="44" t="inlineStr">
        <is>
          <t>matar em silencio</t>
        </is>
      </c>
      <c r="C43" s="34" t="n">
        <v>14</v>
      </c>
      <c r="D43" s="35" t="inlineStr">
        <is>
          <t>Danca - ao mover-se entre dois inimigos, ataca um de graca, 1x por turno</t>
        </is>
      </c>
    </row>
    <row r="44">
      <c r="A44" s="38" t="inlineStr">
        <is>
          <t>Ceifador</t>
        </is>
      </c>
      <c r="B44" s="44" t="inlineStr">
        <is>
          <t>matar em silencio</t>
        </is>
      </c>
      <c r="C44" s="34" t="n">
        <v>18</v>
      </c>
      <c r="D44" s="35" t="inlineStr">
        <is>
          <t>Corte Continuo III - sem limite por turno, cada gatilho exigindo um alvo diferente</t>
        </is>
      </c>
    </row>
    <row r="45">
      <c r="A45" s="41" t="inlineStr">
        <is>
          <t>Ceifador</t>
        </is>
      </c>
      <c r="B45" s="45" t="inlineStr">
        <is>
          <t>matar em silencio</t>
        </is>
      </c>
      <c r="C45" s="46" t="n">
        <v>20</v>
      </c>
      <c r="D45" s="47" t="inlineStr">
        <is>
          <t>APICE Ceifa - 1x por combate, ataca todos os inimigos adjacentes com uma unica rolagem</t>
        </is>
      </c>
    </row>
    <row r="46">
      <c r="A46" s="42" t="inlineStr">
        <is>
          <t>CIENTISTA</t>
        </is>
      </c>
      <c r="B46" s="43" t="inlineStr">
        <is>
          <t>fabricar o impossivel</t>
        </is>
      </c>
    </row>
    <row r="47">
      <c r="A47" s="38" t="inlineStr">
        <is>
          <t>Cientista</t>
        </is>
      </c>
      <c r="B47" s="44" t="inlineStr">
        <is>
          <t>fabricar o impossivel</t>
        </is>
      </c>
      <c r="C47" s="34" t="n">
        <v>2</v>
      </c>
      <c r="D47" s="35" t="inlineStr">
        <is>
          <t>Oficina de Campo II - duas modificacoes por descanso longo</t>
        </is>
      </c>
    </row>
    <row r="48">
      <c r="A48" s="38" t="inlineStr">
        <is>
          <t>Cientista</t>
        </is>
      </c>
      <c r="B48" s="44" t="inlineStr">
        <is>
          <t>fabricar o impossivel</t>
        </is>
      </c>
      <c r="C48" s="34" t="n">
        <v>6</v>
      </c>
      <c r="D48" s="35" t="inlineStr">
        <is>
          <t>Mao Precisa - falha critica de fabricacao nao derruba o estado de conservacao</t>
        </is>
      </c>
    </row>
    <row r="49">
      <c r="A49" s="38" t="inlineStr">
        <is>
          <t>Cientista</t>
        </is>
      </c>
      <c r="B49" s="44" t="inlineStr">
        <is>
          <t>fabricar o impossivel</t>
        </is>
      </c>
      <c r="C49" s="34" t="n">
        <v>10</v>
      </c>
      <c r="D49" s="35" t="inlineStr">
        <is>
          <t>Engenharia Reversa - remove uma modificacao e recupera metade dos componentes</t>
        </is>
      </c>
    </row>
    <row r="50">
      <c r="A50" s="38" t="inlineStr">
        <is>
          <t>Cientista</t>
        </is>
      </c>
      <c r="B50" s="44" t="inlineStr">
        <is>
          <t>fabricar o impossivel</t>
        </is>
      </c>
      <c r="C50" s="34" t="n">
        <v>14</v>
      </c>
      <c r="D50" s="35" t="inlineStr">
        <is>
          <t>Substituto - usa um componente no lugar de outro, 1x por fabricacao</t>
        </is>
      </c>
    </row>
    <row r="51">
      <c r="A51" s="38" t="inlineStr">
        <is>
          <t>Cientista</t>
        </is>
      </c>
      <c r="B51" s="44" t="inlineStr">
        <is>
          <t>fabricar o impossivel</t>
        </is>
      </c>
      <c r="C51" s="34" t="n">
        <v>18</v>
      </c>
      <c r="D51" s="35" t="inlineStr">
        <is>
          <t>Sem Liga - uma modificacao de Oficina por sessao dispensa a Liga Pre-Queda</t>
        </is>
      </c>
    </row>
    <row r="52" ht="26.4" customHeight="1">
      <c r="A52" s="41" t="inlineStr">
        <is>
          <t>Cientista</t>
        </is>
      </c>
      <c r="B52" s="45" t="inlineStr">
        <is>
          <t>fabricar o impossivel</t>
        </is>
      </c>
      <c r="C52" s="46" t="n">
        <v>20</v>
      </c>
      <c r="D52" s="47" t="inlineStr">
        <is>
          <t>APICE Prototipo - fabrica UMA arma de tier Prototipo, uma unica vez na campanha. Unica fonte de Prototipo que nao e saque</t>
        </is>
      </c>
    </row>
    <row r="53">
      <c r="A53" s="42" t="inlineStr">
        <is>
          <t>ATIRADOR DE ELITE</t>
        </is>
      </c>
      <c r="B53" s="43" t="inlineStr">
        <is>
          <t>um tiro, um alvo</t>
        </is>
      </c>
    </row>
    <row r="54">
      <c r="A54" s="38" t="inlineStr">
        <is>
          <t>Atirador de Elite</t>
        </is>
      </c>
      <c r="B54" s="44" t="inlineStr">
        <is>
          <t>um tiro, um alvo</t>
        </is>
      </c>
      <c r="C54" s="34" t="n">
        <v>2</v>
      </c>
      <c r="D54" s="35" t="inlineStr">
        <is>
          <t>Respiracao - Mirar nao exige ter ficado parado</t>
        </is>
      </c>
    </row>
    <row r="55">
      <c r="A55" s="38" t="inlineStr">
        <is>
          <t>Atirador de Elite</t>
        </is>
      </c>
      <c r="B55" s="44" t="inlineStr">
        <is>
          <t>um tiro, um alvo</t>
        </is>
      </c>
      <c r="C55" s="34" t="n">
        <v>6</v>
      </c>
      <c r="D55" s="35" t="inlineStr">
        <is>
          <t>Tiro Calculado II - critico em 18-20 sob Mirar (27,8% com Vantagem)</t>
        </is>
      </c>
    </row>
    <row r="56">
      <c r="A56" s="38" t="inlineStr">
        <is>
          <t>Atirador de Elite</t>
        </is>
      </c>
      <c r="B56" s="44" t="inlineStr">
        <is>
          <t>um tiro, um alvo</t>
        </is>
      </c>
      <c r="C56" s="34" t="n">
        <v>10</v>
      </c>
      <c r="D56" s="35" t="inlineStr">
        <is>
          <t>Alcance Estendido - o alcance normal das suas armas de fogo dobra</t>
        </is>
      </c>
    </row>
    <row r="57">
      <c r="A57" s="38" t="inlineStr">
        <is>
          <t>Atirador de Elite</t>
        </is>
      </c>
      <c r="B57" s="44" t="inlineStr">
        <is>
          <t>um tiro, um alvo</t>
        </is>
      </c>
      <c r="C57" s="34" t="n">
        <v>14</v>
      </c>
      <c r="D57" s="35" t="inlineStr">
        <is>
          <t>Automatico - desbloqueia o modo Automatico</t>
        </is>
      </c>
    </row>
    <row r="58">
      <c r="A58" s="38" t="inlineStr">
        <is>
          <t>Atirador de Elite</t>
        </is>
      </c>
      <c r="B58" s="44" t="inlineStr">
        <is>
          <t>um tiro, um alvo</t>
        </is>
      </c>
      <c r="C58" s="34" t="n">
        <v>18</v>
      </c>
      <c r="D58" s="35" t="inlineStr">
        <is>
          <t>Tiro Calculado III - critico em 17-20 sob Mirar (36% com Vantagem)</t>
        </is>
      </c>
    </row>
    <row r="59">
      <c r="A59" s="41" t="inlineStr">
        <is>
          <t>Atirador de Elite</t>
        </is>
      </c>
      <c r="B59" s="45" t="inlineStr">
        <is>
          <t>um tiro, um alvo</t>
        </is>
      </c>
      <c r="C59" s="46" t="n">
        <v>20</v>
      </c>
      <c r="D59" s="47" t="inlineStr">
        <is>
          <t>APICE Um Tiro - 1x por combate, um ataque a distancia acerta automaticamente e e critico</t>
        </is>
      </c>
    </row>
    <row r="61">
      <c r="A61" s="37" t="inlineStr">
        <is>
          <t>PRINCIPIO VERIFICADO: nenhum dos 48 recursos concede 'mais 1 de dano'. Todos mudam O QUE A CLASSE</t>
        </is>
      </c>
    </row>
    <row r="62">
      <c r="A62" s="37" t="inlineStr">
        <is>
          <t xml:space="preserve">   PODE FAZER, e nao o numero que ela soma - mesmo principio que travou o teto de 1d12.</t>
        </is>
      </c>
    </row>
    <row r="63">
      <c r="A63" s="37" t="inlineStr">
        <is>
          <t>Cada classe escala UMA ideia (coluna 'Linha da classe'), em vez de acumular bonus soltos.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4.4"/>
  <cols>
    <col width="26" customWidth="1" min="1" max="1"/>
    <col width="15" customWidth="1" min="2" max="2"/>
    <col width="16" customWidth="1" min="3" max="3"/>
    <col width="12" customWidth="1" min="4" max="4"/>
    <col width="14" customWidth="1" min="5" max="5"/>
    <col width="16" customWidth="1" min="6" max="6"/>
  </cols>
  <sheetData>
    <row r="1" ht="16.8" customHeight="1">
      <c r="A1" s="31" t="inlineStr">
        <is>
          <t>Resistencias - a escada de dados e a moeda (Aprovacao 020)</t>
        </is>
      </c>
    </row>
    <row r="3">
      <c r="A3" s="48" t="inlineStr">
        <is>
          <t>OS GRAUS</t>
        </is>
      </c>
    </row>
    <row r="4" ht="26.4" customHeight="1">
      <c r="A4" s="32" t="inlineStr">
        <is>
          <t>Grau</t>
        </is>
      </c>
      <c r="B4" s="32" t="inlineStr">
        <is>
          <t>Efeito no dado</t>
        </is>
      </c>
      <c r="C4" s="32" t="inlineStr">
        <is>
          <t>Custo medido em DPR</t>
        </is>
      </c>
    </row>
    <row r="5">
      <c r="A5" s="33" t="inlineStr">
        <is>
          <t>Vulneravel</t>
        </is>
      </c>
      <c r="B5" s="38" t="inlineStr">
        <is>
          <t>o dado SOBE um degrau (teto 1d12)</t>
        </is>
      </c>
      <c r="C5" s="38" t="inlineStr">
        <is>
          <t>+12% a +19%</t>
        </is>
      </c>
    </row>
    <row r="6">
      <c r="A6" s="33" t="inlineStr">
        <is>
          <t>(normal)</t>
        </is>
      </c>
      <c r="B6" s="38" t="inlineStr">
        <is>
          <t>-</t>
        </is>
      </c>
      <c r="C6" s="38" t="inlineStr">
        <is>
          <t>-</t>
        </is>
      </c>
    </row>
    <row r="7">
      <c r="A7" s="33" t="inlineStr">
        <is>
          <t>Resistente</t>
        </is>
      </c>
      <c r="B7" s="38" t="inlineStr">
        <is>
          <t>o dado DESCE um degrau</t>
        </is>
      </c>
      <c r="C7" s="38" t="inlineStr">
        <is>
          <t>-11% a -21%</t>
        </is>
      </c>
    </row>
    <row r="8">
      <c r="A8" s="33" t="inlineStr">
        <is>
          <t>Muito Resistente</t>
        </is>
      </c>
      <c r="B8" s="38" t="inlineStr">
        <is>
          <t>o dado desce DOIS degraus</t>
        </is>
      </c>
      <c r="C8" s="38" t="inlineStr">
        <is>
          <t>cerca de -35%</t>
        </is>
      </c>
    </row>
    <row r="9">
      <c r="A9" s="33" t="inlineStr">
        <is>
          <t>Imune</t>
        </is>
      </c>
      <c r="B9" s="38" t="inlineStr">
        <is>
          <t>dano 0</t>
        </is>
      </c>
      <c r="C9" s="38" t="inlineStr">
        <is>
          <t>-100%</t>
        </is>
      </c>
    </row>
    <row r="11">
      <c r="A11" s="48" t="inlineStr">
        <is>
          <t>PERFIS POR CRIATURA</t>
        </is>
      </c>
    </row>
    <row r="12" ht="26.4" customHeight="1">
      <c r="A12" s="32" t="inlineStr">
        <is>
          <t>Criatura</t>
        </is>
      </c>
      <c r="B12" s="32" t="inlineStr">
        <is>
          <t>Vulneravel</t>
        </is>
      </c>
      <c r="C12" s="32" t="inlineStr">
        <is>
          <t>Resistente</t>
        </is>
      </c>
      <c r="D12" s="32" t="inlineStr">
        <is>
          <t>Muito Resistente</t>
        </is>
      </c>
      <c r="E12" s="32" t="inlineStr">
        <is>
          <t>Nota</t>
        </is>
      </c>
    </row>
    <row r="13" ht="79.2" customHeight="1">
      <c r="A13" s="33" t="inlineStr">
        <is>
          <t>Zumbi comum</t>
        </is>
      </c>
      <c r="B13" s="35" t="inlineStr">
        <is>
          <t>Fogo</t>
        </is>
      </c>
      <c r="C13" s="35" t="inlineStr">
        <is>
          <t>Perfurante, Balistico</t>
        </is>
      </c>
      <c r="D13" s="35" t="inlineStr">
        <is>
          <t>-</t>
        </is>
      </c>
      <c r="E13" s="35" t="inlineStr">
        <is>
          <t>Nao tem orgao vital para furar. E a traducao mecanica do trope do genero.</t>
        </is>
      </c>
    </row>
    <row r="14" ht="52.8" customHeight="1">
      <c r="A14" s="33" t="inlineStr">
        <is>
          <t>Mutante</t>
        </is>
      </c>
      <c r="B14" s="35" t="inlineStr">
        <is>
          <t>Fogo</t>
        </is>
      </c>
      <c r="C14" s="35" t="inlineStr">
        <is>
          <t>Perfurante, Necrotico</t>
        </is>
      </c>
      <c r="D14" s="35" t="inlineStr">
        <is>
          <t>-</t>
        </is>
      </c>
      <c r="E14" s="35" t="inlineStr">
        <is>
          <t>Carne degenerada resiste ao que ja a degenerou.</t>
        </is>
      </c>
    </row>
    <row r="15" ht="66" customHeight="1">
      <c r="A15" s="33" t="inlineStr">
        <is>
          <t>Alvo com cibernetica</t>
        </is>
      </c>
      <c r="B15" s="35" t="inlineStr">
        <is>
          <t>Eletrico/EMP</t>
        </is>
      </c>
      <c r="C15" s="35" t="inlineStr">
        <is>
          <t>Perfurante, Necrotico, Quimico</t>
        </is>
      </c>
      <c r="D15" s="35" t="inlineStr">
        <is>
          <t>-</t>
        </is>
      </c>
      <c r="E15" s="35" t="inlineStr">
        <is>
          <t>Pouca carne para envenenar ou infectar; muito circuito para queimar.</t>
        </is>
      </c>
    </row>
    <row r="16" ht="39.6" customHeight="1">
      <c r="A16" s="33" t="inlineStr">
        <is>
          <t>Humano (saqueador)</t>
        </is>
      </c>
      <c r="B16" s="35" t="inlineStr">
        <is>
          <t>-</t>
        </is>
      </c>
      <c r="C16" s="35" t="inlineStr">
        <is>
          <t>- (so o material da armadura)</t>
        </is>
      </c>
      <c r="D16" s="35" t="inlineStr">
        <is>
          <t>-</t>
        </is>
      </c>
      <c r="E16" s="35" t="inlineStr">
        <is>
          <t>Nenhuma resistencia natural.</t>
        </is>
      </c>
    </row>
    <row r="19">
      <c r="A19" s="48" t="inlineStr">
        <is>
          <t>IMPACTO MEDIDO — zumbi comum resistindo a Perfurante e Balistico</t>
        </is>
      </c>
    </row>
    <row r="20">
      <c r="A20" s="32" t="inlineStr">
        <is>
          <t>Via</t>
        </is>
      </c>
      <c r="B20" s="32" t="inlineStr">
        <is>
          <t>Rodadas antes</t>
        </is>
      </c>
      <c r="C20" s="32" t="inlineStr">
        <is>
          <t>Rodadas depois</t>
        </is>
      </c>
      <c r="D20" s="32" t="inlineStr">
        <is>
          <t>Variacao</t>
        </is>
      </c>
      <c r="E20" s="32" t="inlineStr">
        <is>
          <t>Horda/luta</t>
        </is>
      </c>
      <c r="F20" s="32" t="inlineStr">
        <is>
          <t>Infeccao/luta</t>
        </is>
      </c>
    </row>
    <row r="21">
      <c r="A21" s="38" t="inlineStr">
        <is>
          <t>Rifle 1d10 (Balistico)</t>
        </is>
      </c>
      <c r="B21" s="34" t="n">
        <v>3.44</v>
      </c>
      <c r="C21" s="34" t="n">
        <v>3.86</v>
      </c>
      <c r="D21" s="34" t="inlineStr">
        <is>
          <t>+12%</t>
        </is>
      </c>
      <c r="E21" s="34" t="inlineStr">
        <is>
          <t>20,6 -&gt; 23,1</t>
        </is>
      </c>
      <c r="F21" s="34" t="inlineStr">
        <is>
          <t>1,28 -&gt; 1,71</t>
        </is>
      </c>
    </row>
    <row r="22">
      <c r="A22" s="38" t="inlineStr">
        <is>
          <t>Pistola 1d8 (Balistico)</t>
        </is>
      </c>
      <c r="B22" s="34" t="n">
        <v>3.85</v>
      </c>
      <c r="C22" s="34" t="n">
        <v>4.07</v>
      </c>
      <c r="D22" s="34" t="inlineStr">
        <is>
          <t>+6%</t>
        </is>
      </c>
      <c r="E22" s="34" t="inlineStr">
        <is>
          <t>11,5 -&gt; 12,2</t>
        </is>
      </c>
      <c r="F22" s="34" t="inlineStr">
        <is>
          <t>1,70 -&gt; 1,97</t>
        </is>
      </c>
    </row>
    <row r="23">
      <c r="A23" s="38" t="inlineStr">
        <is>
          <t>Besta 1d10 (Perfurante)</t>
        </is>
      </c>
      <c r="B23" s="34" t="n">
        <v>5.89</v>
      </c>
      <c r="C23" s="34" t="n">
        <v>6.69</v>
      </c>
      <c r="D23" s="34" t="inlineStr">
        <is>
          <t>+14%</t>
        </is>
      </c>
      <c r="E23" s="34" t="inlineStr">
        <is>
          <t>0 -&gt; 0</t>
        </is>
      </c>
      <c r="F23" s="34" t="inlineStr">
        <is>
          <t>4,14 -&gt; 5,10</t>
        </is>
      </c>
    </row>
    <row r="24">
      <c r="A24" s="38" t="inlineStr">
        <is>
          <t>Lanca 1d8 (Perfurante)</t>
        </is>
      </c>
      <c r="B24" s="34" t="n">
        <v>3.86</v>
      </c>
      <c r="C24" s="34" t="n">
        <v>4.07</v>
      </c>
      <c r="D24" s="34" t="inlineStr">
        <is>
          <t>+5%</t>
        </is>
      </c>
      <c r="E24" s="34" t="inlineStr">
        <is>
          <t>0 -&gt; 0</t>
        </is>
      </c>
      <c r="F24" s="34" t="inlineStr">
        <is>
          <t>3,42 -&gt; 3,71</t>
        </is>
      </c>
    </row>
    <row r="25">
      <c r="A25" s="49" t="inlineStr">
        <is>
          <t>Marreta 1d12 (Concussao)</t>
        </is>
      </c>
      <c r="B25" s="36" t="n">
        <v>3.18</v>
      </c>
      <c r="C25" s="36" t="n">
        <v>3.18</v>
      </c>
      <c r="D25" s="36" t="inlineStr">
        <is>
          <t>0%</t>
        </is>
      </c>
      <c r="E25" s="36" t="inlineStr">
        <is>
          <t>3,2 -&gt; 3,2</t>
        </is>
      </c>
      <c r="F25" s="36" t="inlineStr">
        <is>
          <t>2,50 -&gt; 2,50</t>
        </is>
      </c>
    </row>
    <row r="26">
      <c r="A26" s="49" t="inlineStr">
        <is>
          <t>Faca 1d6 (Cortante)</t>
        </is>
      </c>
      <c r="B26" s="36" t="n">
        <v>4.07</v>
      </c>
      <c r="C26" s="36" t="n">
        <v>4.08</v>
      </c>
      <c r="D26" s="36" t="inlineStr">
        <is>
          <t>0%</t>
        </is>
      </c>
      <c r="E26" s="36" t="inlineStr">
        <is>
          <t>0 -&gt; 0</t>
        </is>
      </c>
      <c r="F26" s="36" t="inlineStr">
        <is>
          <t>3,70 -&gt; 3,71</t>
        </is>
      </c>
    </row>
    <row r="29">
      <c r="A29" s="37" t="inlineStr">
        <is>
          <t>POR QUE NAO A METADE DO d20 CLASSICO: medido em 200.000 tiradas, cortar o dano pela metade custa</t>
        </is>
      </c>
    </row>
    <row r="30">
      <c r="A30" s="37" t="inlineStr">
        <is>
          <t xml:space="preserve">   52 a 54 por cento de DPR. Um degrau da escada vale 12 a 19 por cento, e a faixa INTEIRA do catalogo</t>
        </is>
      </c>
    </row>
    <row r="31">
      <c r="A31" s="37" t="inlineStr">
        <is>
          <t xml:space="preserve">   de 76 armas vai de 2,88 a 6,35, ou seja 2,2x. Pela regra classica, um flip de resistencia custaria</t>
        </is>
      </c>
    </row>
    <row r="32">
      <c r="A32" s="37" t="inlineStr">
        <is>
          <t xml:space="preserve">   MAIS que trocar da pior arma do jogo para a melhor - e a tabela de armas deixaria de ser decisao.</t>
        </is>
      </c>
    </row>
    <row r="33">
      <c r="A33" s="37" t="inlineStr">
        <is>
          <t>A regra de degrau tambem NAO E REGRESSIVA: -2 fixo puniria o cano improvisado em 35 por cento e a</t>
        </is>
      </c>
    </row>
    <row r="34">
      <c r="A34" s="37" t="inlineStr">
        <is>
          <t xml:space="preserve">   marreta em 20. O degrau trata todas proporcionalmente.</t>
        </is>
      </c>
    </row>
    <row r="36">
      <c r="A36" s="37" t="inlineStr">
        <is>
          <t>RESISTENCIA APLICA-SE POR DADO, NAO AO TOTAL. Uma Volt-9 (1d6 Concussao + 1d6 Eletrico) contra alvo</t>
        </is>
      </c>
    </row>
    <row r="37">
      <c r="A37" s="37" t="inlineStr">
        <is>
          <t xml:space="preserve">   Resistente a Concussao vira 1d4 + 1d6. Foi por isso que o dado secundario ficou travado em 1d6</t>
        </is>
      </c>
    </row>
    <row r="38">
      <c r="A38" s="37" t="inlineStr">
        <is>
          <t xml:space="preserve">   na Aprovacao 009: dois tipos CONTORNAM resistencia de tipo unico.</t>
        </is>
      </c>
    </row>
    <row r="40">
      <c r="A40" s="37" t="inlineStr">
        <is>
          <t>PISO: arma ja em 1d4 que sofra resistencia perde 1 de dano em vez de descer degrau (minimo 1).</t>
        </is>
      </c>
    </row>
    <row r="41">
      <c r="A41" s="37" t="inlineStr">
        <is>
          <t>ARMADURA DA SO DEFESA. Resistencia vem de MATERIAL: placa de Liga Pre-Queda da Resistente a Balistico.</t>
        </is>
      </c>
    </row>
    <row r="43">
      <c r="A43" s="37" t="inlineStr">
        <is>
          <t>EFEITO COLATERAL ACEITO: a Besta do Explorador piora (5,89 -&gt; 6,69 rodadas). Ele vira batedor, nao refrega.</t>
        </is>
      </c>
    </row>
    <row r="44">
      <c r="A44" s="37" t="inlineStr">
        <is>
          <t>EFEITO COLATERAL POSITIVO: a mesma regra conserta a Lanca, que era boa demais por ser silenciosa,</t>
        </is>
      </c>
    </row>
    <row r="45">
      <c r="A45" s="37" t="inlineStr">
        <is>
          <t xml:space="preserve">   perfurante e de alcance 2 hex.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4.4"/>
  <cols>
    <col width="20" customWidth="1" min="1" max="1"/>
    <col width="84" customWidth="1" min="2" max="2"/>
    <col width="18" customWidth="1" min="3" max="3"/>
    <col width="62" customWidth="1" min="4" max="4"/>
  </cols>
  <sheetData>
    <row r="1" ht="16.8" customHeight="1">
      <c r="A1" s="31" t="inlineStr">
        <is>
          <t>As 18 pericias - referencia d20 classico (Aprovacao 021)</t>
        </is>
      </c>
    </row>
    <row r="3">
      <c r="A3" s="32" t="inlineStr">
        <is>
          <t>Atributo</t>
        </is>
      </c>
      <c r="B3" s="32" t="inlineStr">
        <is>
          <t>Pericia</t>
        </is>
      </c>
      <c r="C3" s="32" t="inlineStr">
        <is>
          <t>O que cobre</t>
        </is>
      </c>
      <c r="D3" s="32" t="inlineStr">
        <is>
          <t>Regra que ela destravou</t>
        </is>
      </c>
    </row>
    <row r="4">
      <c r="A4" s="50" t="inlineStr">
        <is>
          <t>FOR</t>
        </is>
      </c>
    </row>
    <row r="5" ht="39.6" customHeight="1">
      <c r="A5" s="34" t="inlineStr">
        <is>
          <t>FOR</t>
        </is>
      </c>
      <c r="B5" s="33" t="inlineStr">
        <is>
          <t>Atletismo</t>
        </is>
      </c>
      <c r="C5" s="35" t="inlineStr">
        <is>
          <t>Escalar, nadar, saltar, forcar o corpo</t>
        </is>
      </c>
      <c r="D5" s="35" t="inlineStr">
        <is>
          <t>-</t>
        </is>
      </c>
    </row>
    <row r="6" ht="26.4" customHeight="1">
      <c r="A6" s="34" t="inlineStr">
        <is>
          <t>FOR</t>
        </is>
      </c>
      <c r="B6" s="33" t="inlineStr">
        <is>
          <t>Arrombamento</t>
        </is>
      </c>
      <c r="C6" s="35" t="inlineStr">
        <is>
          <t>Abrir o que foi feito para nao abrir</t>
        </is>
      </c>
      <c r="D6" s="51" t="inlineStr">
        <is>
          <t>A propriedade UTILITARIA da Vantagem aqui - regra que esperava dono desde a Aprov. 006</t>
        </is>
      </c>
    </row>
    <row r="7">
      <c r="A7" s="50" t="inlineStr">
        <is>
          <t>AGI</t>
        </is>
      </c>
    </row>
    <row r="8" ht="39.6" customHeight="1">
      <c r="A8" s="34" t="inlineStr">
        <is>
          <t>AGI</t>
        </is>
      </c>
      <c r="B8" s="33" t="inlineStr">
        <is>
          <t>Acrobacia</t>
        </is>
      </c>
      <c r="C8" s="35" t="inlineStr">
        <is>
          <t>Equilibrio, queda, passar por espaco apertado</t>
        </is>
      </c>
      <c r="D8" s="35" t="inlineStr">
        <is>
          <t>-</t>
        </is>
      </c>
    </row>
    <row r="9" ht="26.4" customHeight="1">
      <c r="A9" s="34" t="inlineStr">
        <is>
          <t>AGI</t>
        </is>
      </c>
      <c r="B9" s="33" t="inlineStr">
        <is>
          <t>Furtividade</t>
        </is>
      </c>
      <c r="C9" s="35" t="inlineStr">
        <is>
          <t>Mover-se e agir sem ser notado</t>
        </is>
      </c>
      <c r="D9" s="51" t="inlineStr">
        <is>
          <t>A acao Esconder; interage com o Nivel de Ruido</t>
        </is>
      </c>
    </row>
    <row r="10" ht="39.6" customHeight="1">
      <c r="A10" s="34" t="inlineStr">
        <is>
          <t>AGI</t>
        </is>
      </c>
      <c r="B10" s="33" t="inlineStr">
        <is>
          <t>Prestidigitacao</t>
        </is>
      </c>
      <c r="C10" s="35" t="inlineStr">
        <is>
          <t>Maos rapidas, furto, esconder objeto no corpo</t>
        </is>
      </c>
      <c r="D10" s="35" t="inlineStr">
        <is>
          <t>-</t>
        </is>
      </c>
    </row>
    <row r="11" ht="26.4" customHeight="1">
      <c r="A11" s="34" t="inlineStr">
        <is>
          <t>AGI</t>
        </is>
      </c>
      <c r="B11" s="33" t="inlineStr">
        <is>
          <t>Pilotagem</t>
        </is>
      </c>
      <c r="C11" s="35" t="inlineStr">
        <is>
          <t>Conduzir veiculo sob pressao</t>
        </is>
      </c>
      <c r="D11" s="51" t="inlineStr">
        <is>
          <t>Toda a porta suave do Piloto</t>
        </is>
      </c>
    </row>
    <row r="12">
      <c r="A12" s="50" t="inlineStr">
        <is>
          <t>CON</t>
        </is>
      </c>
    </row>
    <row r="13" ht="26.4" customHeight="1">
      <c r="A13" s="34" t="inlineStr">
        <is>
          <t>CON</t>
        </is>
      </c>
      <c r="B13" s="33" t="inlineStr">
        <is>
          <t>Vigor</t>
        </is>
      </c>
      <c r="C13" s="35" t="inlineStr">
        <is>
          <t>Esforco prolongado, privacao, frio, fome</t>
        </is>
      </c>
      <c r="D13" s="35" t="inlineStr">
        <is>
          <t>-</t>
        </is>
      </c>
    </row>
    <row r="14" ht="39.6" customHeight="1">
      <c r="A14" s="34" t="inlineStr">
        <is>
          <t>CON</t>
        </is>
      </c>
      <c r="B14" s="33" t="inlineStr">
        <is>
          <t>Resistir Toxinas</t>
        </is>
      </c>
      <c r="C14" s="35" t="inlineStr">
        <is>
          <t>Veneno, gas, contaminacao quimica</t>
        </is>
      </c>
      <c r="D14" s="35" t="inlineStr">
        <is>
          <t>-</t>
        </is>
      </c>
    </row>
    <row r="15">
      <c r="A15" s="50" t="inlineStr">
        <is>
          <t>INT</t>
        </is>
      </c>
    </row>
    <row r="16" ht="39.6" customHeight="1">
      <c r="A16" s="34" t="inlineStr">
        <is>
          <t>INT</t>
        </is>
      </c>
      <c r="B16" s="33" t="inlineStr">
        <is>
          <t>Mecanica</t>
        </is>
      </c>
      <c r="C16" s="35" t="inlineStr">
        <is>
          <t>Motores, engrenagens, armas, fabricacao</t>
        </is>
      </c>
      <c r="D16" s="51" t="inlineStr">
        <is>
          <t>O teste de INT das MODIFICACOES, que nunca teve dono</t>
        </is>
      </c>
    </row>
    <row r="17" ht="26.4" customHeight="1">
      <c r="A17" s="34" t="inlineStr">
        <is>
          <t>INT</t>
        </is>
      </c>
      <c r="B17" s="33" t="inlineStr">
        <is>
          <t>Eletronica</t>
        </is>
      </c>
      <c r="C17" s="35" t="inlineStr">
        <is>
          <t>Circuito, sensor, interface corporativa</t>
        </is>
      </c>
      <c r="D17" s="51" t="inlineStr">
        <is>
          <t>Modificacoes de Precisao e os Eletrodos</t>
        </is>
      </c>
    </row>
    <row r="18" ht="26.4" customHeight="1">
      <c r="A18" s="34" t="inlineStr">
        <is>
          <t>INT</t>
        </is>
      </c>
      <c r="B18" s="33" t="inlineStr">
        <is>
          <t>Medicina</t>
        </is>
      </c>
      <c r="C18" s="35" t="inlineStr">
        <is>
          <t>Ferimento, infeccao, farmacologia</t>
        </is>
      </c>
      <c r="D18" s="51" t="inlineStr">
        <is>
          <t>Estabilizar, tratamento de Infeccao, o Soro de Campo</t>
        </is>
      </c>
    </row>
    <row r="19" ht="66" customHeight="1">
      <c r="A19" s="34" t="inlineStr">
        <is>
          <t>INT</t>
        </is>
      </c>
      <c r="B19" s="33" t="inlineStr">
        <is>
          <t>Saber Pre-Queda</t>
        </is>
      </c>
      <c r="C19" s="35" t="inlineStr">
        <is>
          <t>O mundo antes do Colapso: instituicoes, tecnologia, geografia</t>
        </is>
      </c>
      <c r="D19" s="35" t="inlineStr">
        <is>
          <t>-</t>
        </is>
      </c>
    </row>
    <row r="20">
      <c r="A20" s="50" t="inlineStr">
        <is>
          <t>PER</t>
        </is>
      </c>
    </row>
    <row r="21" ht="26.4" customHeight="1">
      <c r="A21" s="34" t="inlineStr">
        <is>
          <t>PER</t>
        </is>
      </c>
      <c r="B21" s="33" t="inlineStr">
        <is>
          <t>Percepcao</t>
        </is>
      </c>
      <c r="C21" s="35" t="inlineStr">
        <is>
          <t>Notar o que esta la agora</t>
        </is>
      </c>
      <c r="D21" s="51" t="inlineStr">
        <is>
          <t>A CD de detectar EMBOSCADA, aberta desde GDD_Combate 2.2</t>
        </is>
      </c>
    </row>
    <row r="22" ht="26.4" customHeight="1">
      <c r="A22" s="34" t="inlineStr">
        <is>
          <t>PER</t>
        </is>
      </c>
      <c r="B22" s="33" t="inlineStr">
        <is>
          <t>Investigacao</t>
        </is>
      </c>
      <c r="C22" s="35" t="inlineStr">
        <is>
          <t>Deduzir o que esteve la antes</t>
        </is>
      </c>
      <c r="D22" s="35" t="inlineStr">
        <is>
          <t>-</t>
        </is>
      </c>
    </row>
    <row r="23" ht="39.6" customHeight="1">
      <c r="A23" s="34" t="inlineStr">
        <is>
          <t>PER</t>
        </is>
      </c>
      <c r="B23" s="33" t="inlineStr">
        <is>
          <t>Sobrevivencia</t>
        </is>
      </c>
      <c r="C23" s="35" t="inlineStr">
        <is>
          <t>Agua, abrigo, rota, e ACHAR COMPONENTES</t>
        </is>
      </c>
      <c r="D23" s="51" t="inlineStr">
        <is>
          <t>Encontrar os oito componentes no saque - liga direto a economia do Refugio</t>
        </is>
      </c>
    </row>
    <row r="24" ht="39.6" customHeight="1">
      <c r="A24" s="34" t="inlineStr">
        <is>
          <t>PER</t>
        </is>
      </c>
      <c r="B24" s="33" t="inlineStr">
        <is>
          <t>Rastrear</t>
        </is>
      </c>
      <c r="C24" s="35" t="inlineStr">
        <is>
          <t>Seguir pegada, rastro, sinal de passagem</t>
        </is>
      </c>
      <c r="D24" s="35" t="inlineStr">
        <is>
          <t>-</t>
        </is>
      </c>
    </row>
    <row r="25">
      <c r="A25" s="50" t="inlineStr">
        <is>
          <t>CAR</t>
        </is>
      </c>
    </row>
    <row r="26" ht="26.4" customHeight="1">
      <c r="A26" s="34" t="inlineStr">
        <is>
          <t>CAR</t>
        </is>
      </c>
      <c r="B26" s="33" t="inlineStr">
        <is>
          <t>Persuasao</t>
        </is>
      </c>
      <c r="C26" s="35" t="inlineStr">
        <is>
          <t>Convencer, negociar, acalmar</t>
        </is>
      </c>
      <c r="D26" s="35" t="inlineStr">
        <is>
          <t>-</t>
        </is>
      </c>
    </row>
    <row r="27" ht="26.4" customHeight="1">
      <c r="A27" s="34" t="inlineStr">
        <is>
          <t>CAR</t>
        </is>
      </c>
      <c r="B27" s="33" t="inlineStr">
        <is>
          <t>Intimidacao</t>
        </is>
      </c>
      <c r="C27" s="35" t="inlineStr">
        <is>
          <t>Coagir pela ameaca ou pela presenca</t>
        </is>
      </c>
      <c r="D27" s="35" t="inlineStr">
        <is>
          <t>-</t>
        </is>
      </c>
    </row>
    <row r="29">
      <c r="A29" s="48" t="inlineStr">
        <is>
          <t>PERICIAS POR CLASSE</t>
        </is>
      </c>
    </row>
    <row r="30">
      <c r="A30" s="32" t="inlineStr">
        <is>
          <t>Classe</t>
        </is>
      </c>
      <c r="B30" s="32" t="inlineStr">
        <is>
          <t>Lista da classe (escolhe 3)</t>
        </is>
      </c>
      <c r="C30" s="32" t="inlineStr">
        <is>
          <t>Resistencias</t>
        </is>
      </c>
    </row>
    <row r="31">
      <c r="A31" s="33" t="inlineStr">
        <is>
          <t>Pugilista</t>
        </is>
      </c>
      <c r="B31" s="35" t="inlineStr">
        <is>
          <t>Atletismo, Intimidacao, Vigor, Acrobacia, Percepcao, Resistir Toxinas</t>
        </is>
      </c>
      <c r="C31" s="34" t="inlineStr">
        <is>
          <t>FOR, CON</t>
        </is>
      </c>
    </row>
    <row r="32">
      <c r="A32" s="33" t="inlineStr">
        <is>
          <t>Construtor</t>
        </is>
      </c>
      <c r="B32" s="35" t="inlineStr">
        <is>
          <t>Mecanica, Arrombamento, Atletismo, Sobrevivencia, Saber Pre-Queda, Vigor</t>
        </is>
      </c>
      <c r="C32" s="34" t="inlineStr">
        <is>
          <t>FOR, CON</t>
        </is>
      </c>
    </row>
    <row r="33">
      <c r="A33" s="33" t="inlineStr">
        <is>
          <t>Medico</t>
        </is>
      </c>
      <c r="B33" s="35" t="inlineStr">
        <is>
          <t>Medicina, Percepcao, Investigacao, Saber Pre-Queda, Persuasao, Resistir Toxinas</t>
        </is>
      </c>
      <c r="C33" s="34" t="inlineStr">
        <is>
          <t>CON, INT</t>
        </is>
      </c>
    </row>
    <row r="34">
      <c r="A34" s="33" t="inlineStr">
        <is>
          <t>Piloto</t>
        </is>
      </c>
      <c r="B34" s="35" t="inlineStr">
        <is>
          <t>Pilotagem, Mecanica, Eletronica, Acrobacia, Percepcao, Arrombamento</t>
        </is>
      </c>
      <c r="C34" s="34" t="inlineStr">
        <is>
          <t>AGI, INT</t>
        </is>
      </c>
    </row>
    <row r="35">
      <c r="A35" s="33" t="inlineStr">
        <is>
          <t>Explorador</t>
        </is>
      </c>
      <c r="B35" s="35" t="inlineStr">
        <is>
          <t>Furtividade, Acrobacia, Percepcao, Rastrear, Sobrevivencia, Prestidigitacao</t>
        </is>
      </c>
      <c r="C35" s="34" t="inlineStr">
        <is>
          <t>AGI, PER</t>
        </is>
      </c>
    </row>
    <row r="36">
      <c r="A36" s="33" t="inlineStr">
        <is>
          <t>Ceifador</t>
        </is>
      </c>
      <c r="B36" s="35" t="inlineStr">
        <is>
          <t>Furtividade, Atletismo, Percepcao, Rastrear, Intimidacao, Acrobacia</t>
        </is>
      </c>
      <c r="C36" s="34" t="inlineStr">
        <is>
          <t>AGI, FOR</t>
        </is>
      </c>
    </row>
    <row r="37">
      <c r="A37" s="33" t="inlineStr">
        <is>
          <t>Cientista</t>
        </is>
      </c>
      <c r="B37" s="35" t="inlineStr">
        <is>
          <t>Eletronica, Mecanica, Saber Pre-Queda, Investigacao, Medicina, Prestidigitacao</t>
        </is>
      </c>
      <c r="C37" s="34" t="inlineStr">
        <is>
          <t>INT, AGI</t>
        </is>
      </c>
    </row>
    <row r="38">
      <c r="A38" s="33" t="inlineStr">
        <is>
          <t>Atirador de Elite</t>
        </is>
      </c>
      <c r="B38" s="35" t="inlineStr">
        <is>
          <t>Percepcao, Furtividade, Rastrear, Acrobacia, Sobrevivencia, Investigacao</t>
        </is>
      </c>
      <c r="C38" s="34" t="inlineStr">
        <is>
          <t>AGI, PER</t>
        </is>
      </c>
    </row>
    <row r="40">
      <c r="A40" s="37" t="inlineStr">
        <is>
          <t>Cada classe escolhe 3 pericias de uma lista de 6, mais 2 testes de resistencia com proficiencia.</t>
        </is>
      </c>
    </row>
    <row r="41">
      <c r="A41" s="37" t="inlineStr">
        <is>
          <t>NENHUMA PERICIA E OBRIGATORIA. Um Medico sem Medicina e um personagem, nao um erro.</t>
        </is>
      </c>
    </row>
    <row r="42">
      <c r="A42" s="37" t="inlineStr">
        <is>
          <t>TESTE DE RESISTENCIA NAO E PERICIA. O teste de CON contra Infeccao NAO e a pericia Vigor.</t>
        </is>
      </c>
    </row>
    <row r="43">
      <c r="A43" s="37" t="inlineStr">
        <is>
          <t xml:space="preserve">   Se Vigor somasse proficiencia ali, um +6 entraria num dial que o canon projetou fraco de</t>
        </is>
      </c>
    </row>
    <row r="44">
      <c r="A44" s="37" t="inlineStr">
        <is>
          <t xml:space="preserve">   proposito, e a Trilha de Infeccao deixaria de morder.</t>
        </is>
      </c>
    </row>
    <row r="45">
      <c r="A45" s="37" t="inlineStr">
        <is>
          <t>As oito linhas em verde sao regras que ja existiam no sistema e estavam SEM DONO ate a Aprovacao 021.</t>
        </is>
      </c>
    </row>
    <row r="46">
      <c r="A46" s="37" t="inlineStr">
        <is>
          <t>CDs de pericia: [A CALIBRAR]. Ver docs/GDD_Pericias.md, que traz verbete completo de cada uma.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4.4"/>
  <cols>
    <col width="26" customWidth="1" min="1" max="1"/>
    <col width="20" customWidth="1" min="2" max="2"/>
    <col width="26" customWidth="1" min="3" max="3"/>
    <col width="58" customWidth="1" min="4" max="4"/>
  </cols>
  <sheetData>
    <row r="1" ht="16.8" customHeight="1">
      <c r="A1" s="31" t="inlineStr">
        <is>
          <t>Especializacoes - o sistema hibrido (Aprovacoes 021 e 022)</t>
        </is>
      </c>
    </row>
    <row r="3">
      <c r="A3" s="48" t="inlineStr">
        <is>
          <t>OS QUATRO PORTES</t>
        </is>
      </c>
    </row>
    <row r="4">
      <c r="A4" s="32" t="inlineStr">
        <is>
          <t>Porte</t>
        </is>
      </c>
      <c r="B4" s="32" t="inlineStr">
        <is>
          <t>Nivel minimo</t>
        </is>
      </c>
      <c r="C4" s="32" t="inlineStr">
        <is>
          <t>O que concede</t>
        </is>
      </c>
      <c r="D4" s="32" t="inlineStr">
        <is>
          <t>Quantas</t>
        </is>
      </c>
    </row>
    <row r="5" ht="39.6" customHeight="1">
      <c r="A5" s="33" t="inlineStr">
        <is>
          <t>Menor</t>
        </is>
      </c>
      <c r="B5" s="39" t="n">
        <v>3</v>
      </c>
      <c r="C5" s="35" t="inlineStr">
        <is>
          <t>Uma pericia, uma familia de arma, um teste de resistencia, ou um Talento Geral</t>
        </is>
      </c>
      <c r="D5" s="34" t="n">
        <v>41</v>
      </c>
    </row>
    <row r="6" ht="39.6" customHeight="1">
      <c r="A6" s="33" t="inlineStr">
        <is>
          <t>Media</t>
        </is>
      </c>
      <c r="B6" s="39" t="n">
        <v>7</v>
      </c>
      <c r="C6" s="35" t="inlineStr">
        <is>
          <t>Um Recurso de nivel 2 ou 6 de outra classe (mais o Talento Cicatrizado)</t>
        </is>
      </c>
      <c r="D6" s="34" t="n">
        <v>10</v>
      </c>
    </row>
    <row r="7" ht="26.4" customHeight="1">
      <c r="A7" s="33" t="inlineStr">
        <is>
          <t>Maior</t>
        </is>
      </c>
      <c r="B7" s="39" t="n">
        <v>13</v>
      </c>
      <c r="C7" s="35" t="inlineStr">
        <is>
          <t>Um Recurso de nivel 10 ou 14 de outra classe</t>
        </is>
      </c>
      <c r="D7" s="34" t="n">
        <v>16</v>
      </c>
    </row>
    <row r="8" ht="39.6" customHeight="1">
      <c r="A8" s="33" t="inlineStr">
        <is>
          <t>Assinatura</t>
        </is>
      </c>
      <c r="B8" s="39" t="n">
        <v>17</v>
      </c>
      <c r="C8" s="35" t="inlineStr">
        <is>
          <t>A habilidade-assinatura de outra classe, mais os 7 Recursos 'II' reclassificados</t>
        </is>
      </c>
      <c r="D8" s="34" t="n">
        <v>15</v>
      </c>
    </row>
    <row r="9">
      <c r="A9" s="33" t="inlineStr">
        <is>
          <t>TOTAL ADQUIRIVEL</t>
        </is>
      </c>
      <c r="D9" s="52" t="n">
        <v>82</v>
      </c>
    </row>
    <row r="10">
      <c r="A10" s="33" t="inlineStr">
        <is>
          <t>INADQUIRIVEL</t>
        </is>
      </c>
      <c r="C10" s="38" t="inlineStr">
        <is>
          <t>8 Recursos de nivel 18 + os 8 Apices</t>
        </is>
      </c>
      <c r="D10" s="46" t="n">
        <v>16</v>
      </c>
    </row>
    <row r="12">
      <c r="A12" s="48" t="inlineStr">
        <is>
          <t>AS TRES REGRAS DE CONTENCAO</t>
        </is>
      </c>
    </row>
    <row r="13">
      <c r="A13" s="32" t="inlineStr">
        <is>
          <t>Regra</t>
        </is>
      </c>
      <c r="B13" s="32" t="inlineStr">
        <is>
          <t>O que diz</t>
        </is>
      </c>
      <c r="C13" s="32" t="inlineStr">
        <is>
          <t>Por que existe</t>
        </is>
      </c>
    </row>
    <row r="14" ht="79.2" customHeight="1">
      <c r="A14" s="53" t="inlineStr">
        <is>
          <t>1</t>
        </is>
      </c>
      <c r="B14" s="35" t="inlineStr">
        <is>
          <t>No maximo 2 especializacoes da mesma classe</t>
        </is>
      </c>
      <c r="C14" s="35" t="inlineStr">
        <is>
          <t>Sem isso, seis escolhas na mesma fonte fazem do personagem um segundo exemplar daquela classe, e o dado de vida - que nunca muda - vira a unica diferenca.</t>
        </is>
      </c>
    </row>
    <row r="15" ht="105.6" customHeight="1">
      <c r="A15" s="53" t="inlineStr">
        <is>
          <t>2</t>
        </is>
      </c>
      <c r="B15" s="35" t="inlineStr">
        <is>
          <t>Pre-requisito le proficiencia de FAMILIA DE ARMA, e so</t>
        </is>
      </c>
      <c r="C15" s="35" t="inlineStr">
        <is>
          <t>Recursos escritos por tipo de dano ou propriedade NAO gateiam: ficam inertes sem a arma certa. Quem compra Golpe Limpo sem arma Cortante desperdicou a escolha, e isso e escolha dele (Aprov. 022).</t>
        </is>
      </c>
    </row>
    <row r="16" ht="52.8" customHeight="1">
      <c r="A16" s="53" t="inlineStr">
        <is>
          <t>3</t>
        </is>
      </c>
      <c r="B16" s="35" t="inlineStr">
        <is>
          <t>Recursos de nivel 18 e Apices NUNCA sao adquiriveis</t>
        </is>
      </c>
      <c r="C16" s="35" t="inlineStr">
        <is>
          <t>Sao o que cada classe tem de exclusivo ate o fim. Nem a Assinatura exportada os alcanca.</t>
        </is>
      </c>
    </row>
    <row r="18">
      <c r="A18" s="48" t="inlineStr">
        <is>
          <t>OS SETE RECURSOS 'II' RECLASSIFICADOS PARA PORTE ASSINATURA (Aprovacao 022)</t>
        </is>
      </c>
    </row>
    <row r="19">
      <c r="A19" s="32" t="inlineStr">
        <is>
          <t>Recurso</t>
        </is>
      </c>
      <c r="B19" s="32" t="inlineStr">
        <is>
          <t>Classe</t>
        </is>
      </c>
      <c r="C19" s="32" t="inlineStr">
        <is>
          <t>Escala</t>
        </is>
      </c>
      <c r="D19" s="32" t="inlineStr">
        <is>
          <t>Custo</t>
        </is>
      </c>
    </row>
    <row r="20">
      <c r="A20" s="54" t="inlineStr">
        <is>
          <t>Tiro Calculado II</t>
        </is>
      </c>
      <c r="B20" s="41" t="inlineStr">
        <is>
          <t>Atirador de Elite</t>
        </is>
      </c>
      <c r="C20" s="41" t="inlineStr">
        <is>
          <t>Tiro Calculado (assinatura)</t>
        </is>
      </c>
      <c r="D20" s="47" t="inlineStr">
        <is>
          <t>Nivel 17, exige a base, e consome a SEGUNDA COTA da classe</t>
        </is>
      </c>
    </row>
    <row r="21">
      <c r="A21" s="54" t="inlineStr">
        <is>
          <t>Corte Continuo II</t>
        </is>
      </c>
      <c r="B21" s="41" t="inlineStr">
        <is>
          <t>Ceifador</t>
        </is>
      </c>
      <c r="C21" s="41" t="inlineStr">
        <is>
          <t>Corte Continuo (assinatura)</t>
        </is>
      </c>
      <c r="D21" s="47" t="inlineStr">
        <is>
          <t>Nivel 17, exige a base, e consome a SEGUNDA COTA da classe</t>
        </is>
      </c>
    </row>
    <row r="22">
      <c r="A22" s="54" t="inlineStr">
        <is>
          <t>Oficina de Campo II</t>
        </is>
      </c>
      <c r="B22" s="41" t="inlineStr">
        <is>
          <t>Cientista</t>
        </is>
      </c>
      <c r="C22" s="41" t="inlineStr">
        <is>
          <t>Oficina de Campo (assinatura)</t>
        </is>
      </c>
      <c r="D22" s="47" t="inlineStr">
        <is>
          <t>Nivel 17, exige a base, e consome a SEGUNDA COTA da classe</t>
        </is>
      </c>
    </row>
    <row r="23">
      <c r="A23" s="54" t="inlineStr">
        <is>
          <t>Mao Calejada II</t>
        </is>
      </c>
      <c r="B23" s="41" t="inlineStr">
        <is>
          <t>Construtor</t>
        </is>
      </c>
      <c r="C23" s="41" t="inlineStr">
        <is>
          <t>Mao Calejada (assinatura)</t>
        </is>
      </c>
      <c r="D23" s="47" t="inlineStr">
        <is>
          <t>Nivel 17, exige a base, e consome a SEGUNDA COTA da classe</t>
        </is>
      </c>
    </row>
    <row r="24">
      <c r="A24" s="54" t="inlineStr">
        <is>
          <t>Esquiva Reflexa II</t>
        </is>
      </c>
      <c r="B24" s="41" t="inlineStr">
        <is>
          <t>Explorador</t>
        </is>
      </c>
      <c r="C24" s="41" t="inlineStr">
        <is>
          <t>Esquiva Reflexa (assinatura)</t>
        </is>
      </c>
      <c r="D24" s="47" t="inlineStr">
        <is>
          <t>Nivel 17, exige a base, e consome a SEGUNDA COTA da classe</t>
        </is>
      </c>
    </row>
    <row r="25">
      <c r="A25" s="54" t="inlineStr">
        <is>
          <t>Estabilizar II</t>
        </is>
      </c>
      <c r="B25" s="41" t="inlineStr">
        <is>
          <t>Medico</t>
        </is>
      </c>
      <c r="C25" s="41" t="inlineStr">
        <is>
          <t>Estabilizar (assinatura)</t>
        </is>
      </c>
      <c r="D25" s="47" t="inlineStr">
        <is>
          <t>Nivel 17, exige a base, e consome a SEGUNDA COTA da classe</t>
        </is>
      </c>
    </row>
    <row r="26">
      <c r="A26" s="54" t="inlineStr">
        <is>
          <t>Modificacao Veicular II</t>
        </is>
      </c>
      <c r="B26" s="41" t="inlineStr">
        <is>
          <t>Piloto</t>
        </is>
      </c>
      <c r="C26" s="41" t="inlineStr">
        <is>
          <t>Modificacao Veicular (assinatura)</t>
        </is>
      </c>
      <c r="D26" s="47" t="inlineStr">
        <is>
          <t>Nivel 17, exige a base, e consome a SEGUNDA COTA da classe</t>
        </is>
      </c>
    </row>
    <row r="28">
      <c r="A28" s="37" t="inlineStr">
        <is>
          <t>POR QUE OS SETE MUDARAM DE PORTE: cada um escala uma ASSINATURA, nao um Recurso comum. Como Medias,</t>
        </is>
      </c>
    </row>
    <row r="29">
      <c r="A29" s="37" t="inlineStr">
        <is>
          <t xml:space="preserve">   ficavam DORMENTES - o jogador gastaria uma escolha no nivel 7 em algo que nao faria nada por dez</t>
        </is>
      </c>
    </row>
    <row r="30">
      <c r="A30" s="37" t="inlineStr">
        <is>
          <t xml:space="preserve">   niveis, porque a base so fica disponivel no 17. Como Assinatura, tornam-se uma construcao cara,</t>
        </is>
      </c>
    </row>
    <row r="31">
      <c r="A31" s="37" t="inlineStr">
        <is>
          <t xml:space="preserve">   legal e util.</t>
        </is>
      </c>
    </row>
    <row r="32">
      <c r="A32" s="37" t="inlineStr">
        <is>
          <t>EXCECAO: Punho Endurecido II continua porte MAIOR (Recurso de nivel 10), porque escala o Recurso de</t>
        </is>
      </c>
    </row>
    <row r="33">
      <c r="A33" s="37" t="inlineStr">
        <is>
          <t xml:space="preserve">   nivel 2 Punho Endurecido e nao uma Assinatura.</t>
        </is>
      </c>
    </row>
    <row r="35">
      <c r="A35" s="37" t="inlineStr">
        <is>
          <t>SAO 8 ESPECIALIZACOES NA CARREIRA INTEIRA, nos niveis 3, 5, 7, 9, 11, 13, 15 e 17.</t>
        </is>
      </c>
    </row>
    <row r="36">
      <c r="A36" s="37" t="inlineStr">
        <is>
          <t>Cada uma exige FONTE DIEGETICA: mentor NPC, manual saqueado, ou pratica validada pelo Mestre.</t>
        </is>
      </c>
    </row>
    <row r="38">
      <c r="A38" s="37" t="inlineStr">
        <is>
          <t>MAIOR INCERTEZA DECLARADA: CONVERGENCIA. Se existir uma combinacao obviamente melhor, todo</t>
        </is>
      </c>
    </row>
    <row r="39">
      <c r="A39" s="37" t="inlineStr">
        <is>
          <t xml:space="preserve">   personagem de nivel 17 vai parecer igual. Tres coisas seguram isso: a fonte diegetica, o teto de 2</t>
        </is>
      </c>
    </row>
    <row r="40">
      <c r="A40" s="37" t="inlineStr">
        <is>
          <t xml:space="preserve">   por classe, e o dado de vida imutavel. Mas convergencia NAO E MENSURAVEL como o DPR foi - so</t>
        </is>
      </c>
    </row>
    <row r="41">
      <c r="A41" s="37" t="inlineStr">
        <is>
          <t xml:space="preserve">   playtest revela. Fica como incerteza declarada, nao como numero fechado.</t>
        </is>
      </c>
    </row>
    <row r="42">
      <c r="A42" s="37" t="inlineStr">
        <is>
          <t>SUSPEITA NUMERO 1 a vigiar em playtest: Olho Adiantado (Explorador, nivel 10) - sem pre-requisito,</t>
        </is>
      </c>
    </row>
    <row r="43">
      <c r="A43" s="37" t="inlineStr">
        <is>
          <t xml:space="preserve">   sem condicao, sem dependencia de estilo.</t>
        </is>
      </c>
    </row>
    <row r="45">
      <c r="A45" s="37" t="inlineStr">
        <is>
          <t>DESIGUALDADE ACEITA: Explorador e Atirador de Elite tem MENOS LIBERDADE real que Medico e Pugilista,</t>
        </is>
      </c>
    </row>
    <row r="46">
      <c r="A46" s="37" t="inlineStr">
        <is>
          <t xml:space="preserve">   porque as especializacoes que mexem na Infeccao valem mais para limiar 12 que para 18 - parte das</t>
        </is>
      </c>
    </row>
    <row r="47">
      <c r="A47" s="37" t="inlineStr">
        <is>
          <t xml:space="preserve">   oito escolhas deles ja esta comprometida com sobreviver. Aceito pelo Diretor como preco da fragilidade.</t>
        </is>
      </c>
    </row>
    <row r="49">
      <c r="A49" s="37" t="inlineStr">
        <is>
          <t>Catalogo completo com verbete de cada uma: docs/GDD_Especializacoes.md (1.558 linhas).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2026-10-02T20:50:07Z</dcterms:created>
  <dcterms:modified xsi:type="dcterms:W3CDTF">2026-10-06T15:14:00Z</dcterms:modified>
  <cp:lastModifiedBy>Thomas Alcantara Meskens</cp:lastModifiedBy>
</cp:coreProperties>
</file>